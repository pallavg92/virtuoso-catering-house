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2.xml" ContentType="application/vnd.openxmlformats-officedocument.spreadsheetml.comments+xml"/>
  <Override PartName="/xl/sharedStrings.xml" ContentType="application/vnd.openxmlformats-officedocument.spreadsheetml.sharedStrings+xml"/>
  <Override PartName="/xl/workbook.xml" ContentType="application/vnd.openxmlformats-officedocument.spreadsheetml.sheet.main+xml"/>
  <Override PartName="/xl/tables/table6.xml" ContentType="application/vnd.openxmlformats-officedocument.spreadsheetml.table+xml"/>
  <Override PartName="/xl/tables/table19.xml" ContentType="application/vnd.openxmlformats-officedocument.spreadsheetml.table+xml"/>
  <Override PartName="/xl/tables/table4.xml" ContentType="application/vnd.openxmlformats-officedocument.spreadsheetml.table+xml"/>
  <Override PartName="/xl/tables/table9.xml" ContentType="application/vnd.openxmlformats-officedocument.spreadsheetml.table+xml"/>
  <Override PartName="/xl/tables/table3.xml" ContentType="application/vnd.openxmlformats-officedocument.spreadsheetml.table+xml"/>
  <Override PartName="/xl/tables/table20.xml" ContentType="application/vnd.openxmlformats-officedocument.spreadsheetml.table+xml"/>
  <Override PartName="/xl/tables/table15.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xml" ContentType="application/vnd.openxmlformats-officedocument.spreadsheetml.table+xml"/>
  <Override PartName="/xl/tables/table18.xml" ContentType="application/vnd.openxmlformats-officedocument.spreadsheetml.table+xml"/>
  <Override PartName="/xl/tables/table8.xml" ContentType="application/vnd.openxmlformats-officedocument.spreadsheetml.table+xml"/>
  <Override PartName="/xl/tables/table12.xml" ContentType="application/vnd.openxmlformats-officedocument.spreadsheetml.table+xml"/>
  <Override PartName="/xl/tables/table14.xml" ContentType="application/vnd.openxmlformats-officedocument.spreadsheetml.table+xml"/>
  <Override PartName="/xl/tables/table2.xml" ContentType="application/vnd.openxmlformats-officedocument.spreadsheetml.table+xml"/>
  <Override PartName="/xl/tables/table7.xml" ContentType="application/vnd.openxmlformats-officedocument.spreadsheetml.table+xml"/>
  <Override PartName="/xl/tables/table13.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5.xml" ContentType="application/vnd.openxmlformats-officedocument.spreadsheetml.table+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1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mments3.xml" ContentType="application/vnd.openxmlformats-officedocument.spreadsheetml.comments+xml"/>
  <Override PartName="/xl/comments1.xml" ContentType="application/vnd.openxmlformats-officedocument.spreadsheetml.comments+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hart3.xml" ContentType="application/vnd.openxmlformats-officedocument.drawingml.chart+xml"/>
  <Override PartName="/xl/charts/colors2.xml" ContentType="application/vnd.ms-office.chartcolorstyle+xml"/>
  <Override PartName="/xl/charts/chart1.xml" ContentType="application/vnd.openxmlformats-officedocument.drawingml.chart+xml"/>
  <Override PartName="/xl/charts/style1.xml" ContentType="application/vnd.ms-office.chartstyle+xml"/>
  <Override PartName="/xl/charts/style3.xml" ContentType="application/vnd.ms-office.chartstyle+xml"/>
  <Override PartName="/xl/charts/colors3.xml" ContentType="application/vnd.ms-office.chartcolorstyle+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Inputs" sheetId="1" state="visible" r:id="rId3"/>
    <sheet name="Estimate Summary" sheetId="2" state="visible" r:id="rId4"/>
    <sheet name="Service Cost" sheetId="3" state="visible" r:id="rId5"/>
    <sheet name="Setup Cost" sheetId="4" state="visible" r:id="rId6"/>
    <sheet name="Food Cost" sheetId="5" state="visible" r:id="rId7"/>
    <sheet name="Coffee Cost" sheetId="6" state="visible" r:id="rId8"/>
    <sheet name="Cocktail Mocktail Bar" sheetId="7" state="visible" r:id="rId9"/>
    <sheet name="Misc Expenses" sheetId="8" state="visible" r:id="rId10"/>
    <sheet name="ODC Chef Cost" sheetId="9" state="visible" r:id="rId11"/>
    <sheet name="Transportation" sheetId="10" state="visible" r:id="rId12"/>
    <sheet name="Actual Cost Entry" sheetId="11" state="visible" r:id="rId13"/>
    <sheet name="Estimate vs Actual" sheetId="12" state="visible" r:id="rId14"/>
    <sheet name="Rate Master" sheetId="13" state="visible" r:id="rId15"/>
    <sheet name="Dashboard" sheetId="14" state="visible" r:id="rId16"/>
    <sheet name="Instructions" sheetId="15" state="visible" r:id="rId17"/>
    <sheet name="Lists" sheetId="16" state="hidden" r:id="rId18"/>
  </sheets>
  <definedNames>
    <definedName function="false" hidden="false" name="BarCostTotal" vbProcedure="false">'Cocktail Mocktail Bar'!$G$18</definedName>
    <definedName function="false" hidden="false" name="BufferPct" vbProcedure="false">'Project Inputs'!$C$12</definedName>
    <definedName function="false" hidden="false" name="ChefCostTotal" vbProcedure="false">'ODC Chef Cost'!$H$15</definedName>
    <definedName function="false" hidden="false" name="CoffeeCostTotal" vbProcedure="false">'Coffee Cost'!$G$15</definedName>
    <definedName function="false" hidden="false" name="CostHead" vbProcedure="false">Lists!$F$2:$F$9</definedName>
    <definedName function="false" hidden="false" name="CostingPax" vbProcedure="false">'Project Inputs'!$C$13</definedName>
    <definedName function="false" hidden="false" name="DefaultChefRate" vbProcedure="false">'Project Inputs'!$C$35</definedName>
    <definedName function="false" hidden="false" name="DefaultContingencyPct" vbProcedure="false">'Project Inputs'!$C$29</definedName>
    <definedName function="false" hidden="false" name="DefaultShiftHours" vbProcedure="false">'Project Inputs'!$C$33</definedName>
    <definedName function="false" hidden="false" name="DefaultStaffRate" vbProcedure="false">'Project Inputs'!$C$34</definedName>
    <definedName function="false" hidden="false" name="DefaultWastagePct" vbProcedure="false">'Project Inputs'!$C$28</definedName>
    <definedName function="false" hidden="false" name="EstimatedCostPerPax" vbProcedure="false">'Estimate Summary'!$C$17</definedName>
    <definedName function="false" hidden="false" name="EstimatedPax" vbProcedure="false">'Project Inputs'!$C$11</definedName>
    <definedName function="false" hidden="false" name="EventType" vbProcedure="false">Lists!$B$2:$B$8</definedName>
    <definedName function="false" hidden="false" name="FinalCommercialBeforeGST" vbProcedure="false">'Estimate Summary'!$C$22</definedName>
    <definedName function="false" hidden="false" name="FinalCommercialInclGST" vbProcedure="false">'Estimate Summary'!$C$24</definedName>
    <definedName function="false" hidden="false" name="FinalProjectMarking" vbProcedure="false">'Estimate vs Actual'!$C$19</definedName>
    <definedName function="false" hidden="false" name="FoodCostTotal" vbProcedure="false">'Food Cost'!$K$17</definedName>
    <definedName function="false" hidden="false" name="GSTPct" vbProcedure="false">'Project Inputs'!$C$30</definedName>
    <definedName function="false" hidden="false" name="IngredientCategory" vbProcedure="false">Lists!$E$2:$E$16</definedName>
    <definedName function="false" hidden="false" name="MenuType" vbProcedure="false">Lists!$C$2:$C$6</definedName>
    <definedName function="false" hidden="false" name="MiscCostTotal" vbProcedure="false">'Misc Expenses'!$E$16</definedName>
    <definedName function="false" hidden="false" name="ModeOfPayment" vbProcedure="false">Lists!$H$2:$H$7</definedName>
    <definedName function="false" hidden="false" name="OverallVariancePct" vbProcedure="false">'Estimate vs Actual'!$C$18</definedName>
    <definedName function="false" hidden="false" name="PaymentStatus" vbProcedure="false">Lists!$G$2:$G$5</definedName>
    <definedName function="false" hidden="false" name="ProfitLoadingPct" vbProcedure="false">'Estimate Summary'!$C$20</definedName>
    <definedName function="false" hidden="false" name="ProjectName_" vbProcedure="false">'Project Inputs'!$C$5</definedName>
    <definedName function="false" hidden="false" name="RoleCategory" vbProcedure="false">Lists!$I$2:$I$6</definedName>
    <definedName function="false" hidden="false" name="ServiceCostTotal" vbProcedure="false">'Service Cost'!$K$15</definedName>
    <definedName function="false" hidden="false" name="ServiceDays" vbProcedure="false">'Project Inputs'!$C$14</definedName>
    <definedName function="false" hidden="false" name="ServiceStyle" vbProcedure="false">Lists!$D$2:$D$7</definedName>
    <definedName function="false" hidden="false" name="SetupCostTotal" vbProcedure="false">'Setup Cost'!$I$17</definedName>
    <definedName function="false" hidden="false" name="StaffMealCost" vbProcedure="false">'Project Inputs'!$C$31</definedName>
    <definedName function="false" hidden="false" name="TotalActualCost" vbProcedure="false">'Estimate vs Actual'!$C$16</definedName>
    <definedName function="false" hidden="false" name="TotalEstimatedBaseCost" vbProcedure="false">'Estimate Summary'!$C$16</definedName>
    <definedName function="false" hidden="false" name="TransportContingencyPct" vbProcedure="false">'Project Inputs'!$C$32</definedName>
    <definedName function="false" hidden="false" name="TransportCostTotal" vbProcedure="false">Transportation!$J$12</definedName>
    <definedName function="false" hidden="false" name="YesNo" vbProcedure="false">Lists!$A$2:$A$3</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Costing Model</author>
  </authors>
  <commentList>
    <comment ref="C5" authorId="0">
      <text>
        <r>
          <rPr>
            <sz val="10"/>
            <rFont val="Arial"/>
            <family val="2"/>
          </rPr>
          <t xml:space="preserve">Enter the full project / event name as used in client communication.</t>
        </r>
      </text>
    </comment>
    <comment ref="C11" authorId="0">
      <text>
        <r>
          <rPr>
            <sz val="10"/>
            <rFont val="Arial"/>
            <family val="2"/>
          </rPr>
          <t xml:space="preserve">Confirmed / expected guest count provided by client, before buffer.</t>
        </r>
      </text>
    </comment>
    <comment ref="C12" authorId="0">
      <text>
        <r>
          <rPr>
            <sz val="10"/>
            <rFont val="Arial"/>
            <family val="2"/>
          </rPr>
          <t xml:space="preserve">Safety margin added over Estimated Pax to cover last-minute guest additions. Typical range 5%-10%.</t>
        </r>
      </text>
    </comment>
    <comment ref="C13" authorId="0">
      <text>
        <r>
          <rPr>
            <sz val="10"/>
            <rFont val="Arial"/>
            <family val="2"/>
          </rPr>
          <t xml:space="preserve">Auto-calculated: Estimated Pax x (1 + Buffer %). All cost sheets size quantities off this figure.</t>
        </r>
      </text>
    </comment>
    <comment ref="C28" authorId="0">
      <text>
        <r>
          <rPr>
            <sz val="10"/>
            <rFont val="Arial"/>
            <family val="2"/>
          </rPr>
          <t xml:space="preserve">Default food wastage buffer applied where a dish-level override is not entered.</t>
        </r>
      </text>
    </comment>
    <comment ref="C29" authorId="0">
      <text>
        <r>
          <rPr>
            <sz val="10"/>
            <rFont val="Arial"/>
            <family val="2"/>
          </rPr>
          <t xml:space="preserve">Applied on total base cost in Estimate Summary to cover unforeseen costs.</t>
        </r>
      </text>
    </comment>
    <comment ref="C30" authorId="0">
      <text>
        <r>
          <rPr>
            <sz val="10"/>
            <rFont val="Arial"/>
            <family val="2"/>
          </rPr>
          <t xml:space="preserve">Applied to the final commercial value (after profit loading) in Estimate Summary.</t>
        </r>
      </text>
    </comment>
    <comment ref="C31" authorId="0">
      <text>
        <r>
          <rPr>
            <sz val="10"/>
            <rFont val="Arial"/>
            <family val="2"/>
          </rPr>
          <t xml:space="preserve">Standard cost per staff meal per shift, used across Service and ODC Chef Cost sheets.</t>
        </r>
      </text>
    </comment>
    <comment ref="C32" authorId="0">
      <text>
        <r>
          <rPr>
            <sz val="10"/>
            <rFont val="Arial"/>
            <family val="2"/>
          </rPr>
          <t xml:space="preserve">Buffer for fuel price movement / extra trips, applied in Transportation sheet.</t>
        </r>
      </text>
    </comment>
    <comment ref="C34" authorId="0">
      <text>
        <r>
          <rPr>
            <sz val="10"/>
            <rFont val="Arial"/>
            <family val="2"/>
          </rPr>
          <t xml:space="preserve">Reference rate only; individual roles in Service Cost may use their own negotiated rate.</t>
        </r>
      </text>
    </comment>
  </commentList>
</comments>
</file>

<file path=xl/comments2.xml><?xml version="1.0" encoding="utf-8"?>
<comments xmlns="http://schemas.openxmlformats.org/spreadsheetml/2006/main" xmlns:xdr="http://schemas.openxmlformats.org/drawingml/2006/spreadsheetDrawing">
  <authors>
    <author>Costing Model</author>
  </authors>
  <commentList>
    <comment ref="C20" authorId="0">
      <text>
        <r>
          <rPr>
            <sz val="10"/>
            <rFont val="Arial"/>
            <family val="2"/>
          </rPr>
          <t xml:space="preserve">Editable. Profit margin loaded on top of the base cost estimate to arrive at the client-facing commercial value.</t>
        </r>
      </text>
    </comment>
  </commentList>
</comments>
</file>

<file path=xl/comments3.xml><?xml version="1.0" encoding="utf-8"?>
<comments xmlns="http://schemas.openxmlformats.org/spreadsheetml/2006/main" xmlns:xdr="http://schemas.openxmlformats.org/drawingml/2006/spreadsheetDrawing">
  <authors>
    <author>Costing Model</author>
  </authors>
  <commentList>
    <comment ref="E5" authorId="0">
      <text>
        <r>
          <rPr>
            <sz val="10"/>
            <rFont val="Arial"/>
            <family val="2"/>
          </rPr>
          <t xml:space="preserve">Defaults to Number of Service Days from Project Inputs. Override if a role works fewer/more shifts than the full event.</t>
        </r>
      </text>
    </comment>
    <comment ref="I5" authorId="0">
      <text>
        <r>
          <rPr>
            <sz val="10"/>
            <rFont val="Arial"/>
            <family val="2"/>
          </rPr>
          <t xml:space="preserve">Auto-calculated: Staff x Shifts x Staff Meal Cost per Person (from Project Inputs), only if Meal Required = Yes.</t>
        </r>
      </text>
    </comment>
  </commentList>
</comments>
</file>

<file path=xl/sharedStrings.xml><?xml version="1.0" encoding="utf-8"?>
<sst xmlns="http://schemas.openxmlformats.org/spreadsheetml/2006/main" count="911" uniqueCount="505">
  <si>
    <t xml:space="preserve">PROJECT INPUTS</t>
  </si>
  <si>
    <t xml:space="preserve">Complete this sheet first. Fields highlighted in blue/cream are editable inputs; all other sheets reference these values.</t>
  </si>
  <si>
    <t xml:space="preserve">PROJECT DETAILS</t>
  </si>
  <si>
    <t xml:space="preserve">Project Name</t>
  </si>
  <si>
    <t xml:space="preserve">The Grand Wedding Weekend</t>
  </si>
  <si>
    <t xml:space="preserve">Client Name</t>
  </si>
  <si>
    <t xml:space="preserve">Mr. &amp; Mrs. Sharma</t>
  </si>
  <si>
    <t xml:space="preserve">Event Date</t>
  </si>
  <si>
    <t xml:space="preserve">2026-11-14</t>
  </si>
  <si>
    <t xml:space="preserve">Venue</t>
  </si>
  <si>
    <t xml:space="preserve">The Leela Palace Lawns</t>
  </si>
  <si>
    <t xml:space="preserve">City</t>
  </si>
  <si>
    <t xml:space="preserve">Udaipur</t>
  </si>
  <si>
    <t xml:space="preserve">Event Type</t>
  </si>
  <si>
    <t xml:space="preserve">Wedding</t>
  </si>
  <si>
    <t xml:space="preserve">Estimated Pax</t>
  </si>
  <si>
    <t xml:space="preserve">Buffer %</t>
  </si>
  <si>
    <t xml:space="preserve">Costing Pax</t>
  </si>
  <si>
    <t xml:space="preserve">Number of Service Days</t>
  </si>
  <si>
    <t xml:space="preserve">Setup Date</t>
  </si>
  <si>
    <t xml:space="preserve">2026-11-13</t>
  </si>
  <si>
    <t xml:space="preserve">Dismantle Date</t>
  </si>
  <si>
    <t xml:space="preserve">2026-11-15</t>
  </si>
  <si>
    <t xml:space="preserve">Meal Periods</t>
  </si>
  <si>
    <t xml:space="preserve">Hi-Tea, Dinner</t>
  </si>
  <si>
    <t xml:space="preserve">Menu Type</t>
  </si>
  <si>
    <t xml:space="preserve">Veg + Non-Veg</t>
  </si>
  <si>
    <t xml:space="preserve">Service Style</t>
  </si>
  <si>
    <t xml:space="preserve">Buffet</t>
  </si>
  <si>
    <t xml:space="preserve">Prepared By</t>
  </si>
  <si>
    <t xml:space="preserve">Costing Team</t>
  </si>
  <si>
    <t xml:space="preserve">Version Number</t>
  </si>
  <si>
    <t xml:space="preserve">v1.0</t>
  </si>
  <si>
    <t xml:space="preserve">Date Prepared</t>
  </si>
  <si>
    <t xml:space="preserve">2026-07-04</t>
  </si>
  <si>
    <t xml:space="preserve">Notes / Assumptions</t>
  </si>
  <si>
    <t xml:space="preserve">Standard buffet wedding package. Rates based on Rate Master as of July 2026. Alcohol excluded from bar costing.</t>
  </si>
  <si>
    <t xml:space="preserve">GLOBAL ASSUMPTIONS</t>
  </si>
  <si>
    <t xml:space="preserve">Default Wastage %</t>
  </si>
  <si>
    <t xml:space="preserve">Default Contingency %</t>
  </si>
  <si>
    <t xml:space="preserve">GST %</t>
  </si>
  <si>
    <t xml:space="preserve">Staff Meal Cost per Person</t>
  </si>
  <si>
    <t xml:space="preserve">Transportation Contingency %</t>
  </si>
  <si>
    <t xml:space="preserve">Default Working Hours per Shift</t>
  </si>
  <si>
    <t xml:space="preserve">Default Staff Shift Rate</t>
  </si>
  <si>
    <t xml:space="preserve">Default Chef Shift Rate</t>
  </si>
  <si>
    <t xml:space="preserve">ESTIMATE SUMMARY</t>
  </si>
  <si>
    <t xml:space="preserve">Management-facing roll-up of the base cost estimate. Profit is loaded separately below and never blended into the base cost figures.</t>
  </si>
  <si>
    <t xml:space="preserve">BASE COST ESTIMATE</t>
  </si>
  <si>
    <t xml:space="preserve">Cost Head</t>
  </si>
  <si>
    <t xml:space="preserve">Estimated Cost (₹)</t>
  </si>
  <si>
    <t xml:space="preserve">% of Total Cost</t>
  </si>
  <si>
    <t xml:space="preserve">Notes</t>
  </si>
  <si>
    <t xml:space="preserve">Service Cost</t>
  </si>
  <si>
    <t xml:space="preserve">Servers, butlers, captains, stewards &amp; support staff</t>
  </si>
  <si>
    <t xml:space="preserve">Setup Cost</t>
  </si>
  <si>
    <t xml:space="preserve">Crockery, cutlery, décor, furniture &amp; setup manpower</t>
  </si>
  <si>
    <t xml:space="preserve">Food Cost</t>
  </si>
  <si>
    <t xml:space="preserve">Ingredient-level costing across the full menu</t>
  </si>
  <si>
    <t xml:space="preserve">Coffee Cost</t>
  </si>
  <si>
    <t xml:space="preserve">Coffee station consumables &amp; barista service</t>
  </si>
  <si>
    <t xml:space="preserve">Cocktail &amp; Mocktail Bar Cost</t>
  </si>
  <si>
    <t xml:space="preserve">Non-alcoholic bar program (alcohol excluded)</t>
  </si>
  <si>
    <t xml:space="preserve">Miscellaneous Expenses</t>
  </si>
  <si>
    <t xml:space="preserve">Printing, packaging, petty cash &amp; event-day sundries</t>
  </si>
  <si>
    <t xml:space="preserve">ODC Chef Cost</t>
  </si>
  <si>
    <t xml:space="preserve">Off-site culinary team deployed to venue</t>
  </si>
  <si>
    <t xml:space="preserve">Transportation Cost</t>
  </si>
  <si>
    <t xml:space="preserve">Vehicles, fuel, tolls &amp; logistics manpower</t>
  </si>
  <si>
    <t xml:space="preserve">Subtotal (Before Contingency)</t>
  </si>
  <si>
    <t xml:space="preserve">Contingency</t>
  </si>
  <si>
    <t xml:space="preserve">Applied at Default Contingency % from Project Inputs</t>
  </si>
  <si>
    <t xml:space="preserve">TOTAL ESTIMATED BASE COST</t>
  </si>
  <si>
    <t xml:space="preserve">Estimated Cost per Pax</t>
  </si>
  <si>
    <t xml:space="preserve">COMMERCIAL VIEW — PROFIT LOADING (SEPARATE FROM BASE COST)</t>
  </si>
  <si>
    <t xml:space="preserve">Profit Loading %</t>
  </si>
  <si>
    <t xml:space="preserve">Profit Amount</t>
  </si>
  <si>
    <t xml:space="preserve">Final Commercial Before GST</t>
  </si>
  <si>
    <t xml:space="preserve">GST Amount</t>
  </si>
  <si>
    <t xml:space="preserve">Final Commercial Including GST</t>
  </si>
  <si>
    <t xml:space="preserve">SERVICE COST ESTIMATE</t>
  </si>
  <si>
    <t xml:space="preserve">Staffing plan for guest-facing and back-of-house service roles. Total Cost = (Staff x Shifts x Rate) + Staff Meal Cost + Conveyance.</t>
  </si>
  <si>
    <t xml:space="preserve">Role Category</t>
  </si>
  <si>
    <t xml:space="preserve">Role</t>
  </si>
  <si>
    <t xml:space="preserve">Description</t>
  </si>
  <si>
    <t xml:space="preserve">No. of Staff</t>
  </si>
  <si>
    <t xml:space="preserve">No. of Shifts / Days</t>
  </si>
  <si>
    <t xml:space="preserve">Hours per Shift</t>
  </si>
  <si>
    <t xml:space="preserve">Rate per Shift (₹)</t>
  </si>
  <si>
    <t xml:space="preserve">Staff Meal Required?</t>
  </si>
  <si>
    <t xml:space="preserve">Staff Meal Cost (₹)</t>
  </si>
  <si>
    <t xml:space="preserve">Conveyance / Allowance (₹)</t>
  </si>
  <si>
    <t xml:space="preserve">Total Cost (₹)</t>
  </si>
  <si>
    <t xml:space="preserve">Front of House</t>
  </si>
  <si>
    <t xml:space="preserve">Service Captain</t>
  </si>
  <si>
    <t xml:space="preserve">Oversees service team, manages guest experience</t>
  </si>
  <si>
    <t xml:space="preserve">No</t>
  </si>
  <si>
    <t xml:space="preserve">Butler</t>
  </si>
  <si>
    <t xml:space="preserve">Dedicated guest butler service</t>
  </si>
  <si>
    <t xml:space="preserve">Server</t>
  </si>
  <si>
    <t xml:space="preserve">Table / buffet service staff</t>
  </si>
  <si>
    <t xml:space="preserve">Yes</t>
  </si>
  <si>
    <t xml:space="preserve">Support</t>
  </si>
  <si>
    <t xml:space="preserve">Support Staff</t>
  </si>
  <si>
    <t xml:space="preserve">General service support</t>
  </si>
  <si>
    <t xml:space="preserve">Steward</t>
  </si>
  <si>
    <t xml:space="preserve">Buffet &amp; station stewarding</t>
  </si>
  <si>
    <t xml:space="preserve">Clearing Staff</t>
  </si>
  <si>
    <t xml:space="preserve">Table / buffet clearing</t>
  </si>
  <si>
    <t xml:space="preserve">Washing Staff</t>
  </si>
  <si>
    <t xml:space="preserve">On-site washing support</t>
  </si>
  <si>
    <t xml:space="preserve">Logistics</t>
  </si>
  <si>
    <t xml:space="preserve">Loader</t>
  </si>
  <si>
    <t xml:space="preserve">Loading / unloading support</t>
  </si>
  <si>
    <t xml:space="preserve">Runner</t>
  </si>
  <si>
    <t xml:space="preserve">Kitchen-to-service runner</t>
  </si>
  <si>
    <t xml:space="preserve">Housekeeping</t>
  </si>
  <si>
    <t xml:space="preserve">Venue housekeeping support</t>
  </si>
  <si>
    <t xml:space="preserve">SETUP COST ESTIMATE</t>
  </si>
  <si>
    <t xml:space="preserve">Décor, equipment, crockery/cutlery and setup manpower. Total Cost = (Qty x Days x Unit Rate x (1 + Damage Buffer %)) + Setup / Handling Cost.</t>
  </si>
  <si>
    <t xml:space="preserve">Setup Category</t>
  </si>
  <si>
    <t xml:space="preserve">Item / Resource</t>
  </si>
  <si>
    <t xml:space="preserve">Quantity</t>
  </si>
  <si>
    <t xml:space="preserve">No. of Days</t>
  </si>
  <si>
    <t xml:space="preserve">Unit Rate (₹)</t>
  </si>
  <si>
    <t xml:space="preserve">Damage Buffer %</t>
  </si>
  <si>
    <t xml:space="preserve">Setup / Handling Cost (₹)</t>
  </si>
  <si>
    <t xml:space="preserve">Vendor / Source</t>
  </si>
  <si>
    <t xml:space="preserve">Crockery</t>
  </si>
  <si>
    <t xml:space="preserve">Crockery Set</t>
  </si>
  <si>
    <t xml:space="preserve">Plates, bowls, side plates per cover</t>
  </si>
  <si>
    <t xml:space="preserve">Elite Rentals</t>
  </si>
  <si>
    <t xml:space="preserve">Cutlery</t>
  </si>
  <si>
    <t xml:space="preserve">Cutlery Set</t>
  </si>
  <si>
    <t xml:space="preserve">Full cutlery set per cover</t>
  </si>
  <si>
    <t xml:space="preserve">Glassware</t>
  </si>
  <si>
    <t xml:space="preserve">Glassware Set</t>
  </si>
  <si>
    <t xml:space="preserve">Water / juice / cocktail glasses per cover</t>
  </si>
  <si>
    <t xml:space="preserve">Serviceware</t>
  </si>
  <si>
    <t xml:space="preserve">Serving Platters &amp; Bowls</t>
  </si>
  <si>
    <t xml:space="preserve">Buffet serving platters, bowls, tongs</t>
  </si>
  <si>
    <t xml:space="preserve">Buffet Counters</t>
  </si>
  <si>
    <t xml:space="preserve">Buffet Counter Units</t>
  </si>
  <si>
    <t xml:space="preserve">Modular buffet counters with skirting</t>
  </si>
  <si>
    <t xml:space="preserve">Décor Partner</t>
  </si>
  <si>
    <t xml:space="preserve">Chafing Dishes</t>
  </si>
  <si>
    <t xml:space="preserve">Chafing Dish (Full Size)</t>
  </si>
  <si>
    <t xml:space="preserve">Hot food chafing dish with fuel</t>
  </si>
  <si>
    <t xml:space="preserve">Risers</t>
  </si>
  <si>
    <t xml:space="preserve">Buffet Risers &amp; Stands</t>
  </si>
  <si>
    <t xml:space="preserve">Display risers for buffet elevation</t>
  </si>
  <si>
    <t xml:space="preserve">Lamps</t>
  </si>
  <si>
    <t xml:space="preserve">Table / Ambient Lamps</t>
  </si>
  <si>
    <t xml:space="preserve">Decorative table and ambient lighting</t>
  </si>
  <si>
    <t xml:space="preserve">Tables</t>
  </si>
  <si>
    <t xml:space="preserve">Round / Buffet Tables</t>
  </si>
  <si>
    <t xml:space="preserve">Guest round tables + buffet tables</t>
  </si>
  <si>
    <t xml:space="preserve">Linen</t>
  </si>
  <si>
    <t xml:space="preserve">Table Linen &amp; Overlays</t>
  </si>
  <si>
    <t xml:space="preserve">Table cloths, overlays, napkins</t>
  </si>
  <si>
    <t xml:space="preserve">Linen House</t>
  </si>
  <si>
    <t xml:space="preserve">Setup Staff</t>
  </si>
  <si>
    <t xml:space="preserve">Setup and breakdown manpower</t>
  </si>
  <si>
    <t xml:space="preserve">In-house</t>
  </si>
  <si>
    <t xml:space="preserve">Washing / Clearing</t>
  </si>
  <si>
    <t xml:space="preserve">Washing / Clearing Staff</t>
  </si>
  <si>
    <t xml:space="preserve">On-site washing and clearing during setup</t>
  </si>
  <si>
    <t xml:space="preserve">FOOD COST ESTIMATE</t>
  </si>
  <si>
    <t xml:space="preserve">Ingredient-level costing by dish. Total Qty Required = Qty per Pax x Costing Pax. Total Ingredient Cost = Total Qty x Rate per Unit x (1 + Wastage %).</t>
  </si>
  <si>
    <t xml:space="preserve">Menu Section</t>
  </si>
  <si>
    <t xml:space="preserve">Dish Name</t>
  </si>
  <si>
    <t xml:space="preserve">Ingredient Category</t>
  </si>
  <si>
    <t xml:space="preserve">Ingredient Name</t>
  </si>
  <si>
    <t xml:space="preserve">Unit</t>
  </si>
  <si>
    <t xml:space="preserve">Quantity per Pax</t>
  </si>
  <si>
    <t xml:space="preserve">Total Quantity Required</t>
  </si>
  <si>
    <t xml:space="preserve">Rate per Unit (₹)</t>
  </si>
  <si>
    <t xml:space="preserve">Wastage %</t>
  </si>
  <si>
    <t xml:space="preserve">Total Ingredient Cost (₹)</t>
  </si>
  <si>
    <t xml:space="preserve">Starters</t>
  </si>
  <si>
    <t xml:space="preserve">Paneer Tikka</t>
  </si>
  <si>
    <t xml:space="preserve">Dairy</t>
  </si>
  <si>
    <t xml:space="preserve">Paneer</t>
  </si>
  <si>
    <t xml:space="preserve">kg</t>
  </si>
  <si>
    <t xml:space="preserve">Spices</t>
  </si>
  <si>
    <t xml:space="preserve">Tikka Masala Spice Mix</t>
  </si>
  <si>
    <t xml:space="preserve">Vegetables</t>
  </si>
  <si>
    <t xml:space="preserve">Capsicum &amp; Onion</t>
  </si>
  <si>
    <t xml:space="preserve">Main Course</t>
  </si>
  <si>
    <t xml:space="preserve">Dal Makhani</t>
  </si>
  <si>
    <t xml:space="preserve">Dry Stock</t>
  </si>
  <si>
    <t xml:space="preserve">Black Lentils (Urad Dal)</t>
  </si>
  <si>
    <t xml:space="preserve">Butter &amp; Cream</t>
  </si>
  <si>
    <t xml:space="preserve">Whole &amp; Ground Spices</t>
  </si>
  <si>
    <t xml:space="preserve">Breads</t>
  </si>
  <si>
    <t xml:space="preserve">Butter Naan</t>
  </si>
  <si>
    <t xml:space="preserve">Bakery</t>
  </si>
  <si>
    <t xml:space="preserve">Refined Flour (Maida)</t>
  </si>
  <si>
    <t xml:space="preserve">Butter</t>
  </si>
  <si>
    <t xml:space="preserve">Other</t>
  </si>
  <si>
    <t xml:space="preserve">Tandoor Fuel Allocation</t>
  </si>
  <si>
    <t xml:space="preserve">unit</t>
  </si>
  <si>
    <t xml:space="preserve">Desserts</t>
  </si>
  <si>
    <t xml:space="preserve">Gulab Jamun</t>
  </si>
  <si>
    <t xml:space="preserve">Khoya</t>
  </si>
  <si>
    <t xml:space="preserve">Sugar</t>
  </si>
  <si>
    <t xml:space="preserve">Refined Flour</t>
  </si>
  <si>
    <t xml:space="preserve">DISH-WISE SUMMARY</t>
  </si>
  <si>
    <t xml:space="preserve">Total Dish Cost (₹)</t>
  </si>
  <si>
    <t xml:space="preserve">Cost per Pax (₹)</t>
  </si>
  <si>
    <t xml:space="preserve">TOTAL</t>
  </si>
  <si>
    <t xml:space="preserve">COFFEE COST ESTIMATE</t>
  </si>
  <si>
    <t xml:space="preserve">Beverage station consumables and service cost. Total Cost = Quantity x Rate per Unit x No. of Days.</t>
  </si>
  <si>
    <t xml:space="preserve">Item Category</t>
  </si>
  <si>
    <t xml:space="preserve">Item</t>
  </si>
  <si>
    <t xml:space="preserve">Beverage</t>
  </si>
  <si>
    <t xml:space="preserve">Coffee Beans</t>
  </si>
  <si>
    <t xml:space="preserve">Milk</t>
  </si>
  <si>
    <t xml:space="preserve">litre</t>
  </si>
  <si>
    <t xml:space="preserve">Alternative Milk</t>
  </si>
  <si>
    <t xml:space="preserve">Consumables</t>
  </si>
  <si>
    <t xml:space="preserve">Cups</t>
  </si>
  <si>
    <t xml:space="preserve">pcs</t>
  </si>
  <si>
    <t xml:space="preserve">Stirrers</t>
  </si>
  <si>
    <t xml:space="preserve">Napkins</t>
  </si>
  <si>
    <t xml:space="preserve">Manpower</t>
  </si>
  <si>
    <t xml:space="preserve">Barista</t>
  </si>
  <si>
    <t xml:space="preserve">shift</t>
  </si>
  <si>
    <t xml:space="preserve">Equipment</t>
  </si>
  <si>
    <t xml:space="preserve">Coffee Machine Rental</t>
  </si>
  <si>
    <t xml:space="preserve">day</t>
  </si>
  <si>
    <t xml:space="preserve">Other Consumables</t>
  </si>
  <si>
    <t xml:space="preserve">lot</t>
  </si>
  <si>
    <t xml:space="preserve">COCKTAIL &amp; MOCKTAIL BAR COST</t>
  </si>
  <si>
    <t xml:space="preserve">Non-alcoholic bar program costing. Total Cost = Quantity x Rate per Unit x No. of Days. Alcohol is EXCLUDED unless manually added as a line item below.</t>
  </si>
  <si>
    <t xml:space="preserve">Category</t>
  </si>
  <si>
    <t xml:space="preserve">Mixers</t>
  </si>
  <si>
    <t xml:space="preserve">Tonic / Soda / Cola Mixers</t>
  </si>
  <si>
    <t xml:space="preserve">Juices</t>
  </si>
  <si>
    <t xml:space="preserve">Fresh Juices</t>
  </si>
  <si>
    <t xml:space="preserve">Syrups</t>
  </si>
  <si>
    <t xml:space="preserve">Flavoured Syrups</t>
  </si>
  <si>
    <t xml:space="preserve">Garnishes</t>
  </si>
  <si>
    <t xml:space="preserve">Cocktail Garnishes</t>
  </si>
  <si>
    <t xml:space="preserve">Herbs</t>
  </si>
  <si>
    <t xml:space="preserve">Mint &amp; Herbs</t>
  </si>
  <si>
    <t xml:space="preserve">Fruits</t>
  </si>
  <si>
    <t xml:space="preserve">Bar Fruits (Citrus etc.)</t>
  </si>
  <si>
    <t xml:space="preserve">Ice</t>
  </si>
  <si>
    <t xml:space="preserve">Bar Glassware Rental</t>
  </si>
  <si>
    <t xml:space="preserve">Bar Tools</t>
  </si>
  <si>
    <t xml:space="preserve">Bar Tools &amp; Equipment</t>
  </si>
  <si>
    <t xml:space="preserve">Bartender</t>
  </si>
  <si>
    <t xml:space="preserve">Bar Consumables</t>
  </si>
  <si>
    <t xml:space="preserve">Disposable Items</t>
  </si>
  <si>
    <t xml:space="preserve">Disposable Cups / Napkins</t>
  </si>
  <si>
    <t xml:space="preserve">Miscellaneous Bar Items</t>
  </si>
  <si>
    <t xml:space="preserve">Note: Alcohol (spirits, wine, beer, champagne) is excluded from this costing sheet by default. If the client requires alcohol procurement, add it as a manual line item above with category 'Other'.</t>
  </si>
  <si>
    <t xml:space="preserve">MISCELLANEOUS EXPENSES</t>
  </si>
  <si>
    <t xml:space="preserve">Event-support costs that don't fall under a specific cost head. Total Cost = Quantity x Unit Rate (set Required = No to exclude a line from totals).</t>
  </si>
  <si>
    <t xml:space="preserve">Expense Category</t>
  </si>
  <si>
    <t xml:space="preserve">Expense Description</t>
  </si>
  <si>
    <t xml:space="preserve">Required?</t>
  </si>
  <si>
    <t xml:space="preserve">Printing</t>
  </si>
  <si>
    <t xml:space="preserve">Menu Cards &amp; Signage Printing</t>
  </si>
  <si>
    <t xml:space="preserve">Menu Cards</t>
  </si>
  <si>
    <t xml:space="preserve">Designer Menu Cards</t>
  </si>
  <si>
    <t xml:space="preserve">Collaterals</t>
  </si>
  <si>
    <t xml:space="preserve">Branding Collaterals</t>
  </si>
  <si>
    <t xml:space="preserve">Cleaning Material</t>
  </si>
  <si>
    <t xml:space="preserve">Cleaning Material &amp; Supplies</t>
  </si>
  <si>
    <t xml:space="preserve">Staff Meals</t>
  </si>
  <si>
    <t xml:space="preserve">Staff Meals (Setup Crew)</t>
  </si>
  <si>
    <t xml:space="preserve">Packaging</t>
  </si>
  <si>
    <t xml:space="preserve">Takeaway / Packaging Material</t>
  </si>
  <si>
    <t xml:space="preserve">Emergency Purchases</t>
  </si>
  <si>
    <t xml:space="preserve">Emergency Purchase Buffer</t>
  </si>
  <si>
    <t xml:space="preserve">Petty Cash</t>
  </si>
  <si>
    <t xml:space="preserve">Event-Day Petty Cash</t>
  </si>
  <si>
    <t xml:space="preserve">Ice Boxes</t>
  </si>
  <si>
    <t xml:space="preserve">Ice Boxes &amp; Coolers</t>
  </si>
  <si>
    <t xml:space="preserve">Permissions</t>
  </si>
  <si>
    <t xml:space="preserve">Local Permissions / Licenses</t>
  </si>
  <si>
    <t xml:space="preserve">Event-Day Purchases</t>
  </si>
  <si>
    <t xml:space="preserve">Event-Day Fuel Top-ups &amp; Sundries</t>
  </si>
  <si>
    <t xml:space="preserve">ODC CHEF COST (OFF-SITE / OUTDOOR CATERING)</t>
  </si>
  <si>
    <t xml:space="preserve">Culinary team deployed to site. Total Cost = (No. of Chefs x Shifts x Rate per Shift) + Travel Allowance + Meal Cost + Accommodation Cost.</t>
  </si>
  <si>
    <t xml:space="preserve">Chef Role</t>
  </si>
  <si>
    <t xml:space="preserve">No. of Chefs</t>
  </si>
  <si>
    <t xml:space="preserve">Travel Allowance (₹)</t>
  </si>
  <si>
    <t xml:space="preserve">Meal Cost (₹)</t>
  </si>
  <si>
    <t xml:space="preserve">Accommodation Cost (₹)</t>
  </si>
  <si>
    <t xml:space="preserve">Head Chef</t>
  </si>
  <si>
    <t xml:space="preserve">Sous Chef</t>
  </si>
  <si>
    <t xml:space="preserve">CDP</t>
  </si>
  <si>
    <t xml:space="preserve">Commis</t>
  </si>
  <si>
    <t xml:space="preserve">Live Station Chef</t>
  </si>
  <si>
    <t xml:space="preserve">Dessert Chef</t>
  </si>
  <si>
    <t xml:space="preserve">Bakery Chef</t>
  </si>
  <si>
    <t xml:space="preserve">Indian Chef</t>
  </si>
  <si>
    <t xml:space="preserve">Continental Chef</t>
  </si>
  <si>
    <t xml:space="preserve">Asian Chef</t>
  </si>
  <si>
    <t xml:space="preserve">TOTAL ODC CHEF COST</t>
  </si>
  <si>
    <t xml:space="preserve">TRANSPORTATION COST</t>
  </si>
  <si>
    <t xml:space="preserve">Vehicles, fuel and logistics manpower. Total Cost = (Vehicles x Trips x Rate per Trip) + Fuel/Toll/Parking + Driver Charges + Loading/Unloading + Night Charges.</t>
  </si>
  <si>
    <t xml:space="preserve">Vehicle Type</t>
  </si>
  <si>
    <t xml:space="preserve">Purpose</t>
  </si>
  <si>
    <t xml:space="preserve">No. of Vehicles</t>
  </si>
  <si>
    <t xml:space="preserve">No. of Trips</t>
  </si>
  <si>
    <t xml:space="preserve">Rate per Trip (₹)</t>
  </si>
  <si>
    <t xml:space="preserve">Fuel / Toll / Parking (₹)</t>
  </si>
  <si>
    <t xml:space="preserve">Driver Charges (₹)</t>
  </si>
  <si>
    <t xml:space="preserve">Loading / Unloading Cost (₹)</t>
  </si>
  <si>
    <t xml:space="preserve">Night Charges (₹)</t>
  </si>
  <si>
    <t xml:space="preserve">Small Tempo</t>
  </si>
  <si>
    <t xml:space="preserve">Crockery &amp; setup material transport</t>
  </si>
  <si>
    <t xml:space="preserve">Large Tempo</t>
  </si>
  <si>
    <t xml:space="preserve">Buffet counters &amp; furniture transport</t>
  </si>
  <si>
    <t xml:space="preserve">Refrigerated Vehicle</t>
  </si>
  <si>
    <t xml:space="preserve">Perishable food transport</t>
  </si>
  <si>
    <t xml:space="preserve">Car</t>
  </si>
  <si>
    <t xml:space="preserve">Chef / supervisor movement</t>
  </si>
  <si>
    <t xml:space="preserve">Pickup Vehicle</t>
  </si>
  <si>
    <t xml:space="preserve">Last-mile / emergency runs</t>
  </si>
  <si>
    <t xml:space="preserve">SUBTOTAL</t>
  </si>
  <si>
    <t xml:space="preserve">Transportation Contingency</t>
  </si>
  <si>
    <t xml:space="preserve">TOTAL TRANSPORTATION COST</t>
  </si>
  <si>
    <t xml:space="preserve">ACTUAL COST ENTRY</t>
  </si>
  <si>
    <t xml:space="preserve">Populate this sheet after the project is executed. Enter one row per vendor payment / invoice. Cost Head must match the estimate sheets for accurate variance analysis.</t>
  </si>
  <si>
    <t xml:space="preserve">Date</t>
  </si>
  <si>
    <t xml:space="preserve">Vendor / Payee</t>
  </si>
  <si>
    <t xml:space="preserve">Invoice No.</t>
  </si>
  <si>
    <t xml:space="preserve">Subcategory</t>
  </si>
  <si>
    <t xml:space="preserve">Estimated Amount (₹)</t>
  </si>
  <si>
    <t xml:space="preserve">Actual Amount (₹)</t>
  </si>
  <si>
    <t xml:space="preserve">Payment Status</t>
  </si>
  <si>
    <t xml:space="preserve">Paid By</t>
  </si>
  <si>
    <t xml:space="preserve">Mode of Payment</t>
  </si>
  <si>
    <t xml:space="preserve">Remarks</t>
  </si>
  <si>
    <t xml:space="preserve">2026-11-10</t>
  </si>
  <si>
    <t xml:space="preserve">INV-1042</t>
  </si>
  <si>
    <t xml:space="preserve">Setup</t>
  </si>
  <si>
    <t xml:space="preserve">Crockery &amp; Cutlery</t>
  </si>
  <si>
    <t xml:space="preserve">Crockery/cutlery/glassware rental</t>
  </si>
  <si>
    <t xml:space="preserve">Paid</t>
  </si>
  <si>
    <t xml:space="preserve">Accounts</t>
  </si>
  <si>
    <t xml:space="preserve">Bank Transfer</t>
  </si>
  <si>
    <t xml:space="preserve">2026-11-11</t>
  </si>
  <si>
    <t xml:space="preserve">Fresh Farm Suppliers</t>
  </si>
  <si>
    <t xml:space="preserve">INV-2231</t>
  </si>
  <si>
    <t xml:space="preserve">Food</t>
  </si>
  <si>
    <t xml:space="preserve">Vegetables &amp; Dairy</t>
  </si>
  <si>
    <t xml:space="preserve">Fresh produce &amp; dairy procurement</t>
  </si>
  <si>
    <t xml:space="preserve">UPI</t>
  </si>
  <si>
    <t xml:space="preserve">2026-11-12</t>
  </si>
  <si>
    <t xml:space="preserve">In-house Payroll</t>
  </si>
  <si>
    <t xml:space="preserve">PAYROLL-114</t>
  </si>
  <si>
    <t xml:space="preserve">Service</t>
  </si>
  <si>
    <t xml:space="preserve">Service Staff Wages</t>
  </si>
  <si>
    <t xml:space="preserve">Service team wages for 2 days</t>
  </si>
  <si>
    <t xml:space="preserve">HR</t>
  </si>
  <si>
    <t xml:space="preserve">City Logistics</t>
  </si>
  <si>
    <t xml:space="preserve">INV-887</t>
  </si>
  <si>
    <t xml:space="preserve">Transportation</t>
  </si>
  <si>
    <t xml:space="preserve">Tempo &amp; Refrigerated Van</t>
  </si>
  <si>
    <t xml:space="preserve">Transport of setup and food material</t>
  </si>
  <si>
    <t xml:space="preserve">Cash</t>
  </si>
  <si>
    <t xml:space="preserve">Bean &amp; Brew Co.</t>
  </si>
  <si>
    <t xml:space="preserve">INV-556</t>
  </si>
  <si>
    <t xml:space="preserve">Coffee</t>
  </si>
  <si>
    <t xml:space="preserve">Coffee Station Consumables</t>
  </si>
  <si>
    <t xml:space="preserve">Coffee beans, milk, barista service</t>
  </si>
  <si>
    <t xml:space="preserve">ESTIMATE VS ACTUAL</t>
  </si>
  <si>
    <t xml:space="preserve">Post-event performance review. Status: Under Budget (&lt;-5%), On Budget (-5% to +5%), Over Budget (&gt;+5%).</t>
  </si>
  <si>
    <t xml:space="preserve">Actual Cost (₹)</t>
  </si>
  <si>
    <t xml:space="preserve">Variance Amount (₹)</t>
  </si>
  <si>
    <t xml:space="preserve">Variance %</t>
  </si>
  <si>
    <t xml:space="preserve">Status</t>
  </si>
  <si>
    <t xml:space="preserve">Cocktail &amp; Mocktail Bar</t>
  </si>
  <si>
    <t xml:space="preserve">OVERALL PROJECT PERFORMANCE</t>
  </si>
  <si>
    <t xml:space="preserve">Total Estimated Cost</t>
  </si>
  <si>
    <t xml:space="preserve">Total Actual Cost</t>
  </si>
  <si>
    <t xml:space="preserve">Total Variance</t>
  </si>
  <si>
    <t xml:space="preserve">Overall Variance %</t>
  </si>
  <si>
    <t xml:space="preserve">Final Project Marking</t>
  </si>
  <si>
    <t xml:space="preserve">RATE MASTER</t>
  </si>
  <si>
    <t xml:space="preserve">Central rate library for the costing team. Rates in the cost sheets can be manually cross-checked against or linked to this master over time.</t>
  </si>
  <si>
    <t xml:space="preserve">STAFF ROLE RATES</t>
  </si>
  <si>
    <t xml:space="preserve">Standard Rate (₹)</t>
  </si>
  <si>
    <t xml:space="preserve">Preferred Vendor</t>
  </si>
  <si>
    <t xml:space="preserve">Last Updated</t>
  </si>
  <si>
    <t xml:space="preserve">per shift</t>
  </si>
  <si>
    <t xml:space="preserve">2026-07-01</t>
  </si>
  <si>
    <t xml:space="preserve">8-hour shift</t>
  </si>
  <si>
    <t xml:space="preserve">CHEF ROLE RATES</t>
  </si>
  <si>
    <t xml:space="preserve">Chef</t>
  </si>
  <si>
    <t xml:space="preserve">CROCKERY &amp; CUTLERY RATES</t>
  </si>
  <si>
    <t xml:space="preserve">per cover/day</t>
  </si>
  <si>
    <t xml:space="preserve">Chafing Dish</t>
  </si>
  <si>
    <t xml:space="preserve">per unit/day</t>
  </si>
  <si>
    <t xml:space="preserve">FOOD INGREDIENT RATES</t>
  </si>
  <si>
    <t xml:space="preserve">Grain Traders Co.</t>
  </si>
  <si>
    <t xml:space="preserve">City Bakery Supplies</t>
  </si>
  <si>
    <t xml:space="preserve">Mixed Vegetables</t>
  </si>
  <si>
    <t xml:space="preserve">COFFEE ITEM RATES</t>
  </si>
  <si>
    <t xml:space="preserve">per day</t>
  </si>
  <si>
    <t xml:space="preserve">BAR ITEM RATES</t>
  </si>
  <si>
    <t xml:space="preserve">City Ice Co.</t>
  </si>
  <si>
    <t xml:space="preserve">Mix &amp; Muddle Bar Co.</t>
  </si>
  <si>
    <t xml:space="preserve">Alcohol excluded</t>
  </si>
  <si>
    <t xml:space="preserve">per pc/day</t>
  </si>
  <si>
    <t xml:space="preserve">TRANSPORTATION RATES</t>
  </si>
  <si>
    <t xml:space="preserve">Vehicle</t>
  </si>
  <si>
    <t xml:space="preserve">per trip</t>
  </si>
  <si>
    <t xml:space="preserve">MISCELLANEOUS RATES</t>
  </si>
  <si>
    <t xml:space="preserve">Menu Card Printing</t>
  </si>
  <si>
    <t xml:space="preserve">per pc</t>
  </si>
  <si>
    <t xml:space="preserve">Print Studio</t>
  </si>
  <si>
    <t xml:space="preserve">Cleaning</t>
  </si>
  <si>
    <t xml:space="preserve">Cleaning Material Kit</t>
  </si>
  <si>
    <t xml:space="preserve">per event</t>
  </si>
  <si>
    <t xml:space="preserve">Local Vendor</t>
  </si>
  <si>
    <t xml:space="preserve">Takeaway Packaging</t>
  </si>
  <si>
    <t xml:space="preserve">per event lot</t>
  </si>
  <si>
    <t xml:space="preserve">EXECUTIVE DASHBOARD</t>
  </si>
  <si>
    <t xml:space="preserve">Live snapshot of project economics — pulled automatically from the estimate, commercial and actuals sheets.</t>
  </si>
  <si>
    <t xml:space="preserve">PROJECT NAME</t>
  </si>
  <si>
    <t xml:space="preserve">ESTIMATED PAX</t>
  </si>
  <si>
    <t xml:space="preserve">COSTING PAX</t>
  </si>
  <si>
    <t xml:space="preserve">ESTIMATED COST PER PAX</t>
  </si>
  <si>
    <t xml:space="preserve">FINAL COMMERCIAL (BEFORE GST)</t>
  </si>
  <si>
    <t xml:space="preserve">FINAL COMMERCIAL (INCL. GST)</t>
  </si>
  <si>
    <t xml:space="preserve">TOTAL ACTUAL COST</t>
  </si>
  <si>
    <t xml:space="preserve">ACTUAL COST PER PAX</t>
  </si>
  <si>
    <t xml:space="preserve">OVERALL VARIANCE %</t>
  </si>
  <si>
    <t xml:space="preserve">FINAL PROJECT MARKING</t>
  </si>
  <si>
    <t xml:space="preserve">COST HEAD BREAKDOWN (CHART SOURCE)</t>
  </si>
  <si>
    <t xml:space="preserve">% Contribution</t>
  </si>
  <si>
    <t xml:space="preserve">HOW TO USE THIS WORKBOOK</t>
  </si>
  <si>
    <t xml:space="preserve">Catering Project Cost Estimator — internal costing &amp; operations model.</t>
  </si>
  <si>
    <t xml:space="preserve">1. WORKFLOW ORDER</t>
  </si>
  <si>
    <t xml:space="preserve">Work through the workbook in this order: Project Inputs -&gt; the 8 cost head sheets -&gt; Estimate Summary -&gt; (load profit) -&gt; run the event -&gt; Actual Cost Entry -&gt; Estimate vs Actual -&gt; Dashboard for review.</t>
  </si>
  <si>
    <t xml:space="preserve">2. FILLING PROJECT INPUTS</t>
  </si>
  <si>
    <t xml:space="preserve">Start here for every new project. Enter Project Name, Client, Event Date, Venue, Pax and dates.</t>
  </si>
  <si>
    <t xml:space="preserve">Estimated Pax is the client-confirmed guest count. Buffer % is a safety margin (5-10% typical); Costing Pax is auto-calculated and is what every cost sheet uses to size quantities.</t>
  </si>
  <si>
    <t xml:space="preserve">Global Assumptions (Wastage %, Contingency %, GST %, Staff Meal Cost, shift rates) are used across every cost sheet, so review them for each new project before entering line items.</t>
  </si>
  <si>
    <t xml:space="preserve">3. ENTERING ESTIMATES IN THE COST SHEETS</t>
  </si>
  <si>
    <t xml:space="preserve">Service Cost, Setup Cost, Coffee Cost, Cocktail &amp; Mocktail Bar, Misc Expenses, ODC Chef Cost and Transportation each list sample roles/items with editable quantities and rates (cream/blue cells).</t>
  </si>
  <si>
    <t xml:space="preserve">Food Cost works at ingredient level: add one row per ingredient per dish, tagged to a Menu Section and Dish Name. The Dish-Wise Summary block below the main table rolls each dish up automatically.</t>
  </si>
  <si>
    <t xml:space="preserve">Add more rows inside any table by inserting a row within the existing table range — formulas and formatting will extend automatically. Grand totals use SUM over the table column, so new rows are included.</t>
  </si>
  <si>
    <t xml:space="preserve">4. USING THE RATE MASTER</t>
  </si>
  <si>
    <t xml:space="preserve">Rate Master is the central price list (staff, chef, crockery, food, coffee, bar, transport, misc). Use it as the reference when entering 'Rate' values in the cost sheets so pricing stays consistent across projects. Update 'Last Updated' whenever a rate changes with a vendor.</t>
  </si>
  <si>
    <t xml:space="preserve">5. LOADING PROFIT</t>
  </si>
  <si>
    <t xml:space="preserve">Profit is loaded only on the Estimate Summary sheet, in the 'Commercial View' block below the base cost.</t>
  </si>
  <si>
    <t xml:space="preserve">Enter Profit Loading % (editable). Profit Amount, Final Commercial Before GST, GST Amount and Final Commercial Including GST all calculate automatically. The Total Estimated Base Cost above this block never includes profit — it stays a pure cost figure for internal review.</t>
  </si>
  <si>
    <t xml:space="preserve">6. ENTERING ACTUAL COSTS (AFTER THE EVENT)</t>
  </si>
  <si>
    <t xml:space="preserve">Once the project is executed, log every vendor payment/invoice as one row in Actual Cost Entry.</t>
  </si>
  <si>
    <t xml:space="preserve">Cost Head must be chosen from the dropdown and must match one of the 8 estimate cost heads exactly, otherwise that spend will not roll up correctly in Estimate vs Actual.</t>
  </si>
  <si>
    <t xml:space="preserve">7. READING ESTIMATE VS ACTUAL</t>
  </si>
  <si>
    <t xml:space="preserve">This sheet compares Estimated Cost (from the estimate sheets) against Actual Cost (summed from Actual Cost Entry) per cost head, showing Variance Amount, Variance % and a Status flag.</t>
  </si>
  <si>
    <t xml:space="preserve">Status / colour coding: Under Budget = green (more than 5% below estimate), On Budget = yellow (within +/-5%), Over Budget = red (more than 5% above estimate).</t>
  </si>
  <si>
    <t xml:space="preserve">The bottom section gives Total Estimated Cost, Total Actual Cost, Total Variance, Overall Variance % and a Final Project Marking: Excellent (&gt;=5% under), Good (within estimate to +5% over), Poor (&gt;5% over).</t>
  </si>
  <si>
    <t xml:space="preserve">8. EDITABLE VS FORMULA CELLS</t>
  </si>
  <si>
    <t xml:space="preserve">Cream/yellow-filled cells with blue text are editable inputs — quantities, rates, dates, names, dropdowns.</t>
  </si>
  <si>
    <t xml:space="preserve">White cells with black text are formulas and are locked; sheets are protected so these cannot be accidentally overwritten, while input cells remain fully editable.</t>
  </si>
  <si>
    <t xml:space="preserve">Green italic text marks a value linked in from another sheet (e.g. cost head totals on Estimate Summary) — edit the source sheet, not the link.</t>
  </si>
  <si>
    <t xml:space="preserve">9. DASHBOARD</t>
  </si>
  <si>
    <t xml:space="preserve">The Dashboard sheet is a read-only, management-facing view: key KPIs and three charts (Estimated Cost by Cost Head, Estimate vs Actual by Cost Head, Cost Head % Contribution). Nothing needs to be entered here.</t>
  </si>
  <si>
    <t xml:space="preserve">YesNo</t>
  </si>
  <si>
    <t xml:space="preserve">EventType</t>
  </si>
  <si>
    <t xml:space="preserve">MenuType</t>
  </si>
  <si>
    <t xml:space="preserve">ServiceStyle</t>
  </si>
  <si>
    <t xml:space="preserve">IngredientCategory</t>
  </si>
  <si>
    <t xml:space="preserve">CostHead</t>
  </si>
  <si>
    <t xml:space="preserve">PaymentStatus</t>
  </si>
  <si>
    <t xml:space="preserve">ModeOfPayment</t>
  </si>
  <si>
    <t xml:space="preserve">RoleCategory</t>
  </si>
  <si>
    <t xml:space="preserve">Pure Veg</t>
  </si>
  <si>
    <t xml:space="preserve">Corporate Event</t>
  </si>
  <si>
    <t xml:space="preserve">Plated / Sit-Down</t>
  </si>
  <si>
    <t xml:space="preserve">Pending</t>
  </si>
  <si>
    <t xml:space="preserve">Brand Activation</t>
  </si>
  <si>
    <t xml:space="preserve">Non-Veg Only</t>
  </si>
  <si>
    <t xml:space="preserve">Live Counters</t>
  </si>
  <si>
    <t xml:space="preserve">Partial</t>
  </si>
  <si>
    <t xml:space="preserve">Cheque</t>
  </si>
  <si>
    <t xml:space="preserve">Private Party</t>
  </si>
  <si>
    <t xml:space="preserve">Jain</t>
  </si>
  <si>
    <t xml:space="preserve">Family Style</t>
  </si>
  <si>
    <t xml:space="preserve">Advance Paid</t>
  </si>
  <si>
    <t xml:space="preserve">Credit Card</t>
  </si>
  <si>
    <t xml:space="preserve">Social Gathering</t>
  </si>
  <si>
    <t xml:space="preserve">Custom / Mixed</t>
  </si>
  <si>
    <t xml:space="preserve">Cocktail / Standing</t>
  </si>
  <si>
    <t xml:space="preserve">Management</t>
  </si>
  <si>
    <t xml:space="preserve">Exhibition / Launch</t>
  </si>
  <si>
    <t xml:space="preserve">Mixed Service</t>
  </si>
  <si>
    <t xml:space="preserve">Poultry</t>
  </si>
  <si>
    <t xml:space="preserve">Vendor Credit</t>
  </si>
  <si>
    <t xml:space="preserve">Meat</t>
  </si>
  <si>
    <t xml:space="preserve">Seafood</t>
  </si>
  <si>
    <t xml:space="preserve">Condiments</t>
  </si>
  <si>
    <t xml:space="preserve">Sauces</t>
  </si>
  <si>
    <t xml:space="preserve">Oils</t>
  </si>
  <si>
    <t xml:space="preserve">Garnish</t>
  </si>
</sst>
</file>

<file path=xl/styles.xml><?xml version="1.0" encoding="utf-8"?>
<styleSheet xmlns="http://schemas.openxmlformats.org/spreadsheetml/2006/main">
  <numFmts count="7">
    <numFmt numFmtId="164" formatCode="General"/>
    <numFmt numFmtId="165" formatCode="dd\-mmm\-yyyy"/>
    <numFmt numFmtId="166" formatCode="#,##0"/>
    <numFmt numFmtId="167" formatCode="0.0%"/>
    <numFmt numFmtId="168" formatCode="\₹#,##0"/>
    <numFmt numFmtId="169" formatCode="\₹#,##0.00"/>
    <numFmt numFmtId="170" formatCode="#,##0.00"/>
  </numFmts>
  <fonts count="23">
    <font>
      <sz val="11"/>
      <color theme="1"/>
      <name val="Calibri"/>
      <family val="2"/>
      <charset val="1"/>
    </font>
    <font>
      <sz val="10"/>
      <name val="Arial"/>
      <family val="0"/>
    </font>
    <font>
      <sz val="10"/>
      <name val="Arial"/>
      <family val="0"/>
    </font>
    <font>
      <sz val="10"/>
      <name val="Arial"/>
      <family val="0"/>
    </font>
    <font>
      <b val="true"/>
      <sz val="16"/>
      <color rgb="FF1F3864"/>
      <name val="Calibri"/>
      <family val="0"/>
      <charset val="1"/>
    </font>
    <font>
      <i val="true"/>
      <sz val="10"/>
      <color rgb="FF595959"/>
      <name val="Calibri"/>
      <family val="0"/>
      <charset val="1"/>
    </font>
    <font>
      <b val="true"/>
      <sz val="11"/>
      <color rgb="FFFFFFFF"/>
      <name val="Calibri"/>
      <family val="0"/>
      <charset val="1"/>
    </font>
    <font>
      <b val="true"/>
      <sz val="10"/>
      <color rgb="FF000000"/>
      <name val="Calibri"/>
      <family val="0"/>
      <charset val="1"/>
    </font>
    <font>
      <sz val="10"/>
      <color rgb="FF0000FF"/>
      <name val="Calibri"/>
      <family val="0"/>
      <charset val="1"/>
    </font>
    <font>
      <sz val="10"/>
      <color rgb="FF000000"/>
      <name val="Calibri"/>
      <family val="0"/>
      <charset val="1"/>
    </font>
    <font>
      <sz val="10"/>
      <name val="Arial"/>
      <family val="2"/>
    </font>
    <font>
      <b val="true"/>
      <sz val="10"/>
      <color rgb="FFFFFFFF"/>
      <name val="Calibri"/>
      <family val="0"/>
      <charset val="1"/>
    </font>
    <font>
      <i val="true"/>
      <sz val="10"/>
      <color rgb="FF007A33"/>
      <name val="Calibri"/>
      <family val="0"/>
      <charset val="1"/>
    </font>
    <font>
      <i val="true"/>
      <sz val="9"/>
      <color rgb="FF7F7F7F"/>
      <name val="Calibri"/>
      <family val="0"/>
      <charset val="1"/>
    </font>
    <font>
      <b val="true"/>
      <sz val="11"/>
      <color rgb="FF1F3864"/>
      <name val="Calibri"/>
      <family val="0"/>
      <charset val="1"/>
    </font>
    <font>
      <b val="true"/>
      <sz val="10"/>
      <name val="Calibri"/>
      <family val="0"/>
      <charset val="1"/>
    </font>
    <font>
      <b val="true"/>
      <sz val="12"/>
      <color rgb="FF1F3864"/>
      <name val="Calibri"/>
      <family val="0"/>
      <charset val="1"/>
    </font>
    <font>
      <b val="true"/>
      <sz val="9"/>
      <color rgb="FF595959"/>
      <name val="Calibri"/>
      <family val="0"/>
      <charset val="1"/>
    </font>
    <font>
      <b val="true"/>
      <sz val="18"/>
      <color rgb="FF1F3864"/>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1"/>
      <name val="Cambria"/>
      <family val="0"/>
      <charset val="1"/>
    </font>
  </fonts>
  <fills count="8">
    <fill>
      <patternFill patternType="none"/>
    </fill>
    <fill>
      <patternFill patternType="gray125"/>
    </fill>
    <fill>
      <patternFill patternType="solid">
        <fgColor rgb="FF2E5395"/>
        <bgColor rgb="FF1F3864"/>
      </patternFill>
    </fill>
    <fill>
      <patternFill patternType="solid">
        <fgColor rgb="FFFFF9E3"/>
        <bgColor rgb="FFF9F9F9"/>
      </patternFill>
    </fill>
    <fill>
      <patternFill patternType="solid">
        <fgColor rgb="FF1F3864"/>
        <bgColor rgb="FF333333"/>
      </patternFill>
    </fill>
    <fill>
      <patternFill patternType="solid">
        <fgColor rgb="FFD9D9D9"/>
        <bgColor rgb="FFC6E0B4"/>
      </patternFill>
    </fill>
    <fill>
      <patternFill patternType="solid">
        <fgColor rgb="FFFFF2CC"/>
        <bgColor rgb="FFFFF9E3"/>
      </patternFill>
    </fill>
    <fill>
      <patternFill patternType="solid">
        <fgColor rgb="FFF2F2F2"/>
        <bgColor rgb="FFF9F9F9"/>
      </patternFill>
    </fill>
  </fills>
  <borders count="5">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double">
        <color rgb="FF1F3864"/>
      </top>
      <bottom style="thin">
        <color rgb="FFBFBFBF"/>
      </bottom>
      <diagonal/>
    </border>
    <border diagonalUp="false" diagonalDown="false">
      <left style="thin">
        <color rgb="FFBFBFBF"/>
      </left>
      <right style="thin">
        <color rgb="FFBFBFBF"/>
      </right>
      <top style="thick">
        <color rgb="FF1F3864"/>
      </top>
      <bottom/>
      <diagonal/>
    </border>
    <border diagonalUp="false" diagonalDown="false">
      <left style="thin">
        <color rgb="FFBFBFBF"/>
      </left>
      <right style="thin">
        <color rgb="FFBFBFBF"/>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true">
      <alignment horizontal="left" vertical="center" textRotation="0" wrapText="false" indent="0" shrinkToFit="false"/>
      <protection locked="false" hidden="false"/>
    </xf>
    <xf numFmtId="165" fontId="8" fillId="3" borderId="1" xfId="0" applyFont="true" applyBorder="true" applyAlignment="true" applyProtection="true">
      <alignment horizontal="left" vertical="center" textRotation="0" wrapText="false" indent="0" shrinkToFit="false"/>
      <protection locked="false" hidden="false"/>
    </xf>
    <xf numFmtId="166" fontId="8" fillId="3" borderId="1" xfId="0" applyFont="true" applyBorder="true" applyAlignment="true" applyProtection="true">
      <alignment horizontal="left" vertical="center" textRotation="0" wrapText="false" indent="0" shrinkToFit="false"/>
      <protection locked="false" hidden="false"/>
    </xf>
    <xf numFmtId="167" fontId="8" fillId="3" borderId="1" xfId="0" applyFont="true" applyBorder="true" applyAlignment="true" applyProtection="true">
      <alignment horizontal="left" vertical="center" textRotation="0" wrapText="false" indent="0" shrinkToFit="false"/>
      <protection locked="false" hidden="false"/>
    </xf>
    <xf numFmtId="166" fontId="9"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true">
      <alignment horizontal="left" vertical="top" textRotation="0" wrapText="true" indent="0" shrinkToFit="false"/>
      <protection locked="fals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true" applyProtection="true">
      <alignment horizontal="left" vertical="center" textRotation="0" wrapText="false" indent="0" shrinkToFit="false"/>
      <protection locked="fals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8" fontId="12" fillId="0" borderId="1" xfId="0" applyFont="true" applyBorder="true" applyAlignment="true" applyProtection="false">
      <alignment horizontal="right" vertical="center"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7" fillId="5" borderId="2" xfId="0" applyFont="true" applyBorder="true" applyAlignment="false" applyProtection="false">
      <alignment horizontal="general" vertical="bottom" textRotation="0" wrapText="false" indent="0" shrinkToFit="false"/>
      <protection locked="true" hidden="false"/>
    </xf>
    <xf numFmtId="168" fontId="7" fillId="5" borderId="2"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7" fontId="8" fillId="6" borderId="1" xfId="0" applyFont="true" applyBorder="true" applyAlignment="true" applyProtection="true">
      <alignment horizontal="right" vertical="center" textRotation="0" wrapText="false" indent="0" shrinkToFit="false"/>
      <protection locked="fals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8" fontId="9" fillId="6" borderId="1" xfId="0" applyFont="true" applyBorder="true" applyAlignment="true" applyProtection="false">
      <alignment horizontal="right" vertical="center"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68" fontId="14" fillId="6" borderId="1" xfId="0" applyFont="true" applyBorder="true" applyAlignment="true" applyProtection="false">
      <alignment horizontal="right" vertical="center" textRotation="0" wrapText="false" indent="0" shrinkToFit="false"/>
      <protection locked="true" hidden="false"/>
    </xf>
    <xf numFmtId="164" fontId="8" fillId="3" borderId="1" xfId="0" applyFont="true" applyBorder="true" applyAlignment="true" applyProtection="true">
      <alignment horizontal="left" vertical="center" textRotation="0" wrapText="true" indent="0" shrinkToFit="false"/>
      <protection locked="false" hidden="false"/>
    </xf>
    <xf numFmtId="166" fontId="8" fillId="3" borderId="1" xfId="0" applyFont="true" applyBorder="true" applyAlignment="true" applyProtection="true">
      <alignment horizontal="right" vertical="center" textRotation="0" wrapText="false" indent="0" shrinkToFit="false"/>
      <protection locked="false" hidden="false"/>
    </xf>
    <xf numFmtId="166" fontId="9" fillId="3" borderId="1" xfId="0" applyFont="true" applyBorder="true" applyAlignment="true" applyProtection="true">
      <alignment horizontal="right" vertical="center" textRotation="0" wrapText="false" indent="0" shrinkToFit="false"/>
      <protection locked="false" hidden="false"/>
    </xf>
    <xf numFmtId="168" fontId="8" fillId="3" borderId="1" xfId="0" applyFont="true" applyBorder="true" applyAlignment="true" applyProtection="true">
      <alignment horizontal="right" vertical="center" textRotation="0" wrapText="false" indent="0" shrinkToFit="false"/>
      <protection locked="false" hidden="false"/>
    </xf>
    <xf numFmtId="168" fontId="7" fillId="0" borderId="1" xfId="0" applyFont="true" applyBorder="true" applyAlignment="true" applyProtection="false">
      <alignment horizontal="right" vertical="center" textRotation="0" wrapText="false" indent="0" shrinkToFit="false"/>
      <protection locked="true" hidden="false"/>
    </xf>
    <xf numFmtId="170" fontId="8" fillId="3" borderId="1" xfId="0" applyFont="true" applyBorder="true" applyAlignment="true" applyProtection="true">
      <alignment horizontal="right" vertical="center" textRotation="0" wrapText="false" indent="0" shrinkToFit="false"/>
      <protection locked="false" hidden="false"/>
    </xf>
    <xf numFmtId="167" fontId="8" fillId="3" borderId="1" xfId="0" applyFont="true" applyBorder="true" applyAlignment="true" applyProtection="true">
      <alignment horizontal="right" vertical="center" textRotation="0" wrapText="false" indent="0" shrinkToFit="false"/>
      <protection locked="false" hidden="false"/>
    </xf>
    <xf numFmtId="166" fontId="12" fillId="0" borderId="1" xfId="0" applyFont="true" applyBorder="true" applyAlignment="true" applyProtection="false">
      <alignment horizontal="right" vertical="center" textRotation="0" wrapText="false" indent="0" shrinkToFit="false"/>
      <protection locked="true" hidden="false"/>
    </xf>
    <xf numFmtId="170" fontId="9" fillId="0" borderId="1" xfId="0" applyFont="true" applyBorder="true" applyAlignment="true" applyProtection="false">
      <alignment horizontal="right" vertical="center" textRotation="0" wrapText="false" indent="0" shrinkToFit="false"/>
      <protection locked="true" hidden="false"/>
    </xf>
    <xf numFmtId="169" fontId="9" fillId="0" borderId="1"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5" fontId="8" fillId="3" borderId="1" xfId="0" applyFont="true" applyBorder="true" applyAlignment="true" applyProtection="true">
      <alignment horizontal="left" vertical="center" textRotation="0" wrapText="true" indent="0" shrinkToFit="false"/>
      <protection locked="false" hidden="false"/>
    </xf>
    <xf numFmtId="168" fontId="9" fillId="0" borderId="1" xfId="0" applyFont="true" applyBorder="true" applyAlignment="true" applyProtection="false">
      <alignment horizontal="right"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true">
      <alignment horizontal="general" vertical="center" textRotation="0" wrapText="true" indent="0" shrinkToFit="false"/>
      <protection locked="false" hidden="false"/>
    </xf>
    <xf numFmtId="168" fontId="7" fillId="5" borderId="2" xfId="0" applyFont="true" applyBorder="true" applyAlignment="true" applyProtection="false">
      <alignment horizontal="right" vertical="center" textRotation="0" wrapText="false" indent="0" shrinkToFit="false"/>
      <protection locked="true" hidden="false"/>
    </xf>
    <xf numFmtId="167" fontId="7" fillId="5" borderId="2" xfId="0" applyFont="true" applyBorder="true" applyAlignment="true" applyProtection="false">
      <alignment horizontal="right" vertical="center" textRotation="0" wrapText="false" indent="0" shrinkToFit="false"/>
      <protection locked="true" hidden="false"/>
    </xf>
    <xf numFmtId="164" fontId="16" fillId="5" borderId="2" xfId="0" applyFont="true" applyBorder="true" applyAlignment="true" applyProtection="false">
      <alignment horizontal="center" vertical="center" textRotation="0" wrapText="false" indent="0" shrinkToFit="false"/>
      <protection locked="true" hidden="false"/>
    </xf>
    <xf numFmtId="164" fontId="17" fillId="7" borderId="3" xfId="0" applyFont="true" applyBorder="true" applyAlignment="true" applyProtection="false">
      <alignment horizontal="left" vertical="center" textRotation="0" wrapText="false" indent="1" shrinkToFit="false"/>
      <protection locked="true" hidden="false"/>
    </xf>
    <xf numFmtId="164" fontId="18" fillId="7" borderId="4" xfId="0" applyFont="true" applyBorder="true" applyAlignment="true" applyProtection="false">
      <alignment horizontal="left" vertical="center" textRotation="0" wrapText="false" indent="1" shrinkToFit="false"/>
      <protection locked="true" hidden="false"/>
    </xf>
    <xf numFmtId="166" fontId="18" fillId="7" borderId="4" xfId="0" applyFont="true" applyBorder="true" applyAlignment="true" applyProtection="false">
      <alignment horizontal="left" vertical="center" textRotation="0" wrapText="false" indent="1" shrinkToFit="false"/>
      <protection locked="true" hidden="false"/>
    </xf>
    <xf numFmtId="168" fontId="18" fillId="7" borderId="4" xfId="0" applyFont="true" applyBorder="true" applyAlignment="true" applyProtection="false">
      <alignment horizontal="left" vertical="center" textRotation="0" wrapText="false" indent="1" shrinkToFit="false"/>
      <protection locked="true" hidden="false"/>
    </xf>
    <xf numFmtId="169" fontId="18" fillId="7" borderId="4" xfId="0" applyFont="true" applyBorder="true" applyAlignment="true" applyProtection="false">
      <alignment horizontal="left" vertical="center" textRotation="0" wrapText="false" indent="1" shrinkToFit="false"/>
      <protection locked="true" hidden="false"/>
    </xf>
    <xf numFmtId="167" fontId="18" fillId="7" borderId="4" xfId="0" applyFont="true" applyBorder="true" applyAlignment="true" applyProtection="false">
      <alignment horizontal="left" vertical="center" textRotation="0" wrapText="false" indent="1"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fgColor rgb="FFFFF9E3"/>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007A33"/>
          <bgColor rgb="FF000000"/>
        </patternFill>
      </fill>
    </dxf>
    <dxf>
      <fill>
        <patternFill patternType="solid">
          <fgColor rgb="FF2E5395"/>
          <bgColor rgb="FF000000"/>
        </patternFill>
      </fill>
    </dxf>
    <dxf>
      <fill>
        <patternFill patternType="solid">
          <fgColor rgb="FFC6E0B4"/>
          <bgColor rgb="FF000000"/>
        </patternFill>
      </fill>
    </dxf>
    <dxf>
      <fill>
        <patternFill patternType="solid">
          <fgColor rgb="FFF4B6B6"/>
          <bgColor rgb="FF000000"/>
        </patternFill>
      </fill>
    </dxf>
    <dxf>
      <fill>
        <patternFill>
          <bgColor rgb="FFC6E0B4"/>
        </patternFill>
      </fill>
    </dxf>
    <dxf>
      <fill>
        <patternFill>
          <bgColor rgb="FFFFE699"/>
        </patternFill>
      </fill>
    </dxf>
    <dxf>
      <fill>
        <patternFill>
          <bgColor rgb="FFF4B6B6"/>
        </patternFill>
      </fill>
    </dxf>
  </dxfs>
  <colors>
    <indexedColors>
      <rgbColor rgb="FF000000"/>
      <rgbColor rgb="FFFFFFFF"/>
      <rgbColor rgb="FFFF0000"/>
      <rgbColor rgb="FF00FF00"/>
      <rgbColor rgb="FF0000FF"/>
      <rgbColor rgb="FFFFFF00"/>
      <rgbColor rgb="FFFF00FF"/>
      <rgbColor rgb="FF00FFFF"/>
      <rgbColor rgb="FF800000"/>
      <rgbColor rgb="FF007A33"/>
      <rgbColor rgb="FF000080"/>
      <rgbColor rgb="FF7F7F7F"/>
      <rgbColor rgb="FF800080"/>
      <rgbColor rgb="FF008080"/>
      <rgbColor rgb="FFBFBFBF"/>
      <rgbColor rgb="FF808080"/>
      <rgbColor rgb="FF8FAADC"/>
      <rgbColor rgb="FF993366"/>
      <rgbColor rgb="FFFFF9E3"/>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C6E0B4"/>
      <rgbColor rgb="FFFFE699"/>
      <rgbColor rgb="FFFFF2CC"/>
      <rgbColor rgb="FFFF99CC"/>
      <rgbColor rgb="FFA9A9A9"/>
      <rgbColor rgb="FFF4B6B6"/>
      <rgbColor rgb="FF4472C4"/>
      <rgbColor rgb="FF33CCCC"/>
      <rgbColor rgb="FF99CC00"/>
      <rgbColor rgb="FFD9B300"/>
      <rgbColor rgb="FFBF9000"/>
      <rgbColor rgb="FFFF6600"/>
      <rgbColor rgb="FF595959"/>
      <rgbColor rgb="FF878787"/>
      <rgbColor rgb="FF1F3864"/>
      <rgbColor rgb="FF4F81BD"/>
      <rgbColor rgb="FF0033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Estimated Cost by Cost Head</a:t>
            </a:r>
          </a:p>
        </c:rich>
      </c:tx>
      <c:overlay val="0"/>
      <c:spPr>
        <a:noFill/>
        <a:ln w="0">
          <a:noFill/>
        </a:ln>
      </c:spPr>
    </c:title>
    <c:autoTitleDeleted val="0"/>
    <c:plotArea>
      <c:barChart>
        <c:barDir val="col"/>
        <c:grouping val="clustered"/>
        <c:varyColors val="0"/>
        <c:ser>
          <c:idx val="0"/>
          <c:order val="0"/>
          <c:tx>
            <c:strRef>
              <c:f>Dashboard!C15</c:f>
              <c:strCache>
                <c:ptCount val="1"/>
                <c:pt idx="0">
                  <c:v>Estimated Cost (₹)</c:v>
                </c:pt>
              </c:strCache>
            </c:strRef>
          </c:tx>
          <c:spPr>
            <a:solidFill>
              <a:srgbClr val="1F3864"/>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Dashboard!$B$16:$B$23</c:f>
              <c:strCache>
                <c:ptCount val="8"/>
                <c:pt idx="0">
                  <c:v>Service</c:v>
                </c:pt>
                <c:pt idx="1">
                  <c:v>Setup</c:v>
                </c:pt>
                <c:pt idx="2">
                  <c:v>Food</c:v>
                </c:pt>
                <c:pt idx="3">
                  <c:v>Coffee</c:v>
                </c:pt>
                <c:pt idx="4">
                  <c:v>Cocktail &amp; Mocktail Bar</c:v>
                </c:pt>
                <c:pt idx="5">
                  <c:v>Miscellaneous Expenses</c:v>
                </c:pt>
                <c:pt idx="6">
                  <c:v>ODC Chef Cost</c:v>
                </c:pt>
                <c:pt idx="7">
                  <c:v>Transportation</c:v>
                </c:pt>
              </c:strCache>
            </c:strRef>
          </c:cat>
          <c:val>
            <c:numRef>
              <c:f>Dashboard!$C$16:$C$23</c:f>
              <c:numCache>
                <c:formatCode>\₹#,##0</c:formatCode>
                <c:ptCount val="8"/>
                <c:pt idx="0">
                  <c:v>117820</c:v>
                </c:pt>
                <c:pt idx="1">
                  <c:v>225378</c:v>
                </c:pt>
                <c:pt idx="2">
                  <c:v>38171.304</c:v>
                </c:pt>
                <c:pt idx="3">
                  <c:v>50420</c:v>
                </c:pt>
                <c:pt idx="4">
                  <c:v>76780</c:v>
                </c:pt>
                <c:pt idx="5">
                  <c:v>54500</c:v>
                </c:pt>
                <c:pt idx="6">
                  <c:v>117900</c:v>
                </c:pt>
                <c:pt idx="7">
                  <c:v>63735</c:v>
                </c:pt>
              </c:numCache>
            </c:numRef>
          </c:val>
        </c:ser>
        <c:gapWidth val="150"/>
        <c:overlap val="0"/>
        <c:axId val="72371608"/>
        <c:axId val="46760926"/>
      </c:barChart>
      <c:catAx>
        <c:axId val="7237160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6760926"/>
        <c:crosses val="autoZero"/>
        <c:auto val="1"/>
        <c:lblAlgn val="ctr"/>
        <c:lblOffset val="100"/>
        <c:noMultiLvlLbl val="0"/>
      </c:catAx>
      <c:valAx>
        <c:axId val="46760926"/>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2371608"/>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Estimate vs Actual by Cost Head</a:t>
            </a:r>
          </a:p>
        </c:rich>
      </c:tx>
      <c:overlay val="0"/>
      <c:spPr>
        <a:noFill/>
        <a:ln w="0">
          <a:noFill/>
        </a:ln>
      </c:spPr>
    </c:title>
    <c:autoTitleDeleted val="0"/>
    <c:plotArea>
      <c:barChart>
        <c:barDir val="col"/>
        <c:grouping val="clustered"/>
        <c:varyColors val="0"/>
        <c:ser>
          <c:idx val="0"/>
          <c:order val="0"/>
          <c:tx>
            <c:strRef>
              <c:f>Dashboard!C15</c:f>
              <c:strCache>
                <c:ptCount val="1"/>
                <c:pt idx="0">
                  <c:v>Estimated Cost (₹)</c:v>
                </c:pt>
              </c:strCache>
            </c:strRef>
          </c:tx>
          <c:spPr>
            <a:solidFill>
              <a:srgbClr val="1F3864"/>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Dashboard!$B$16:$B$23</c:f>
              <c:strCache>
                <c:ptCount val="8"/>
                <c:pt idx="0">
                  <c:v>Service</c:v>
                </c:pt>
                <c:pt idx="1">
                  <c:v>Setup</c:v>
                </c:pt>
                <c:pt idx="2">
                  <c:v>Food</c:v>
                </c:pt>
                <c:pt idx="3">
                  <c:v>Coffee</c:v>
                </c:pt>
                <c:pt idx="4">
                  <c:v>Cocktail &amp; Mocktail Bar</c:v>
                </c:pt>
                <c:pt idx="5">
                  <c:v>Miscellaneous Expenses</c:v>
                </c:pt>
                <c:pt idx="6">
                  <c:v>ODC Chef Cost</c:v>
                </c:pt>
                <c:pt idx="7">
                  <c:v>Transportation</c:v>
                </c:pt>
              </c:strCache>
            </c:strRef>
          </c:cat>
          <c:val>
            <c:numRef>
              <c:f>Dashboard!$C$16:$C$23</c:f>
              <c:numCache>
                <c:formatCode>\₹#,##0</c:formatCode>
                <c:ptCount val="8"/>
                <c:pt idx="0">
                  <c:v>117820</c:v>
                </c:pt>
                <c:pt idx="1">
                  <c:v>225378</c:v>
                </c:pt>
                <c:pt idx="2">
                  <c:v>38171.304</c:v>
                </c:pt>
                <c:pt idx="3">
                  <c:v>50420</c:v>
                </c:pt>
                <c:pt idx="4">
                  <c:v>76780</c:v>
                </c:pt>
                <c:pt idx="5">
                  <c:v>54500</c:v>
                </c:pt>
                <c:pt idx="6">
                  <c:v>117900</c:v>
                </c:pt>
                <c:pt idx="7">
                  <c:v>63735</c:v>
                </c:pt>
              </c:numCache>
            </c:numRef>
          </c:val>
        </c:ser>
        <c:ser>
          <c:idx val="1"/>
          <c:order val="1"/>
          <c:tx>
            <c:strRef>
              <c:f>Dashboard!D15</c:f>
              <c:strCache>
                <c:ptCount val="1"/>
                <c:pt idx="0">
                  <c:v>Actual Cost (₹)</c:v>
                </c:pt>
              </c:strCache>
            </c:strRef>
          </c:tx>
          <c:spPr>
            <a:solidFill>
              <a:srgbClr val="BF9000"/>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Dashboard!$B$16:$B$23</c:f>
              <c:strCache>
                <c:ptCount val="8"/>
                <c:pt idx="0">
                  <c:v>Service</c:v>
                </c:pt>
                <c:pt idx="1">
                  <c:v>Setup</c:v>
                </c:pt>
                <c:pt idx="2">
                  <c:v>Food</c:v>
                </c:pt>
                <c:pt idx="3">
                  <c:v>Coffee</c:v>
                </c:pt>
                <c:pt idx="4">
                  <c:v>Cocktail &amp; Mocktail Bar</c:v>
                </c:pt>
                <c:pt idx="5">
                  <c:v>Miscellaneous Expenses</c:v>
                </c:pt>
                <c:pt idx="6">
                  <c:v>ODC Chef Cost</c:v>
                </c:pt>
                <c:pt idx="7">
                  <c:v>Transportation</c:v>
                </c:pt>
              </c:strCache>
            </c:strRef>
          </c:cat>
          <c:val>
            <c:numRef>
              <c:f>Dashboard!$D$16:$D$23</c:f>
              <c:numCache>
                <c:formatCode>\₹#,##0</c:formatCode>
                <c:ptCount val="8"/>
                <c:pt idx="0">
                  <c:v>228000</c:v>
                </c:pt>
                <c:pt idx="1">
                  <c:v>46200</c:v>
                </c:pt>
                <c:pt idx="2">
                  <c:v>176500</c:v>
                </c:pt>
                <c:pt idx="3">
                  <c:v>14200</c:v>
                </c:pt>
                <c:pt idx="4">
                  <c:v>0</c:v>
                </c:pt>
                <c:pt idx="5">
                  <c:v>0</c:v>
                </c:pt>
                <c:pt idx="6">
                  <c:v>0</c:v>
                </c:pt>
                <c:pt idx="7">
                  <c:v>33500</c:v>
                </c:pt>
              </c:numCache>
            </c:numRef>
          </c:val>
        </c:ser>
        <c:gapWidth val="150"/>
        <c:overlap val="0"/>
        <c:axId val="10357107"/>
        <c:axId val="11756589"/>
      </c:barChart>
      <c:catAx>
        <c:axId val="1035710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756589"/>
        <c:crosses val="autoZero"/>
        <c:auto val="1"/>
        <c:lblAlgn val="ctr"/>
        <c:lblOffset val="100"/>
        <c:noMultiLvlLbl val="0"/>
      </c:catAx>
      <c:valAx>
        <c:axId val="11756589"/>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035710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Cost Head % Contribution</a:t>
            </a:r>
          </a:p>
        </c:rich>
      </c:tx>
      <c:overlay val="0"/>
      <c:spPr>
        <a:noFill/>
        <a:ln w="0">
          <a:noFill/>
        </a:ln>
      </c:spPr>
    </c:title>
    <c:autoTitleDeleted val="0"/>
    <c:plotArea>
      <c:pieChart>
        <c:varyColors val="1"/>
        <c:ser>
          <c:idx val="0"/>
          <c:order val="0"/>
          <c:tx>
            <c:strRef>
              <c:f>Dashboard!C15</c:f>
              <c:strCache>
                <c:ptCount val="1"/>
                <c:pt idx="0">
                  <c:v>Estimated Cost (₹)</c:v>
                </c:pt>
              </c:strCache>
            </c:strRef>
          </c:tx>
          <c:spPr>
            <a:solidFill>
              <a:srgbClr val="4F81BD"/>
            </a:solidFill>
            <a:ln w="12600">
              <a:solidFill>
                <a:srgbClr val="F9F9F9"/>
              </a:solidFill>
              <a:round/>
            </a:ln>
          </c:spPr>
          <c:explosion val="0"/>
          <c:dPt>
            <c:idx val="0"/>
            <c:spPr>
              <a:solidFill>
                <a:srgbClr val="1F3864"/>
              </a:solidFill>
              <a:ln w="9360">
                <a:solidFill>
                  <a:srgbClr val="F9F9F9"/>
                </a:solidFill>
                <a:round/>
              </a:ln>
            </c:spPr>
          </c:dPt>
          <c:dPt>
            <c:idx val="1"/>
            <c:spPr>
              <a:solidFill>
                <a:srgbClr val="2E5395"/>
              </a:solidFill>
              <a:ln w="9360">
                <a:solidFill>
                  <a:srgbClr val="F9F9F9"/>
                </a:solidFill>
                <a:round/>
              </a:ln>
            </c:spPr>
          </c:dPt>
          <c:dPt>
            <c:idx val="2"/>
            <c:spPr>
              <a:solidFill>
                <a:srgbClr val="4472C4"/>
              </a:solidFill>
              <a:ln w="9360">
                <a:solidFill>
                  <a:srgbClr val="F9F9F9"/>
                </a:solidFill>
                <a:round/>
              </a:ln>
            </c:spPr>
          </c:dPt>
          <c:dPt>
            <c:idx val="3"/>
            <c:spPr>
              <a:solidFill>
                <a:srgbClr val="8FAADC"/>
              </a:solidFill>
              <a:ln w="9360">
                <a:solidFill>
                  <a:srgbClr val="F9F9F9"/>
                </a:solidFill>
                <a:round/>
              </a:ln>
            </c:spPr>
          </c:dPt>
          <c:dPt>
            <c:idx val="4"/>
            <c:spPr>
              <a:solidFill>
                <a:srgbClr val="BF9000"/>
              </a:solidFill>
              <a:ln w="9360">
                <a:solidFill>
                  <a:srgbClr val="F9F9F9"/>
                </a:solidFill>
                <a:round/>
              </a:ln>
            </c:spPr>
          </c:dPt>
          <c:dPt>
            <c:idx val="5"/>
            <c:spPr>
              <a:solidFill>
                <a:srgbClr val="D9B300"/>
              </a:solidFill>
              <a:ln w="9360">
                <a:solidFill>
                  <a:srgbClr val="F9F9F9"/>
                </a:solidFill>
                <a:round/>
              </a:ln>
            </c:spPr>
          </c:dPt>
          <c:dPt>
            <c:idx val="6"/>
            <c:spPr>
              <a:solidFill>
                <a:srgbClr val="A9A9A9"/>
              </a:solidFill>
              <a:ln w="9360">
                <a:solidFill>
                  <a:srgbClr val="F9F9F9"/>
                </a:solidFill>
                <a:round/>
              </a:ln>
            </c:spPr>
          </c:dPt>
          <c:dPt>
            <c:idx val="7"/>
            <c:spPr>
              <a:solidFill>
                <a:srgbClr val="595959"/>
              </a:solidFill>
              <a:ln w="9360">
                <a:solidFill>
                  <a:srgbClr val="F9F9F9"/>
                </a:solidFill>
                <a:round/>
              </a:ln>
            </c:spPr>
          </c:dPt>
          <c:dLbls>
            <c:dLbl>
              <c:idx val="0"/>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1"/>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2"/>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3"/>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4"/>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5"/>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6"/>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7"/>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showLeaderLines val="1"/>
            <c:leaderLines>
              <c:spPr>
                <a:ln w="0">
                  <a:solidFill>
                    <a:srgbClr val="F9F9F9"/>
                  </a:solidFill>
                </a:ln>
              </c:spPr>
            </c:leaderLines>
          </c:dLbls>
          <c:cat>
            <c:strRef>
              <c:f>Dashboard!$B$16:$B$23</c:f>
              <c:strCache>
                <c:ptCount val="8"/>
                <c:pt idx="0">
                  <c:v>Service</c:v>
                </c:pt>
                <c:pt idx="1">
                  <c:v>Setup</c:v>
                </c:pt>
                <c:pt idx="2">
                  <c:v>Food</c:v>
                </c:pt>
                <c:pt idx="3">
                  <c:v>Coffee</c:v>
                </c:pt>
                <c:pt idx="4">
                  <c:v>Cocktail &amp; Mocktail Bar</c:v>
                </c:pt>
                <c:pt idx="5">
                  <c:v>Miscellaneous Expenses</c:v>
                </c:pt>
                <c:pt idx="6">
                  <c:v>ODC Chef Cost</c:v>
                </c:pt>
                <c:pt idx="7">
                  <c:v>Transportation</c:v>
                </c:pt>
              </c:strCache>
            </c:strRef>
          </c:cat>
          <c:val>
            <c:numRef>
              <c:f>Dashboard!$C$16:$C$23</c:f>
              <c:numCache>
                <c:formatCode>\₹#,##0</c:formatCode>
                <c:ptCount val="8"/>
                <c:pt idx="0">
                  <c:v>117820</c:v>
                </c:pt>
                <c:pt idx="1">
                  <c:v>225378</c:v>
                </c:pt>
                <c:pt idx="2">
                  <c:v>38171.304</c:v>
                </c:pt>
                <c:pt idx="3">
                  <c:v>50420</c:v>
                </c:pt>
                <c:pt idx="4">
                  <c:v>76780</c:v>
                </c:pt>
                <c:pt idx="5">
                  <c:v>54500</c:v>
                </c:pt>
                <c:pt idx="6">
                  <c:v>117900</c:v>
                </c:pt>
                <c:pt idx="7">
                  <c:v>63735</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25</xdr:row>
      <xdr:rowOff>0</xdr:rowOff>
    </xdr:from>
    <xdr:to>
      <xdr:col>7</xdr:col>
      <xdr:colOff>684720</xdr:colOff>
      <xdr:row>40</xdr:row>
      <xdr:rowOff>22320</xdr:rowOff>
    </xdr:to>
    <xdr:graphicFrame>
      <xdr:nvGraphicFramePr>
        <xdr:cNvPr id="1" name="Chart 1"/>
        <xdr:cNvGraphicFramePr/>
      </xdr:nvGraphicFramePr>
      <xdr:xfrm>
        <a:off x="211320" y="556272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25</xdr:row>
      <xdr:rowOff>0</xdr:rowOff>
    </xdr:from>
    <xdr:to>
      <xdr:col>13</xdr:col>
      <xdr:colOff>684720</xdr:colOff>
      <xdr:row>40</xdr:row>
      <xdr:rowOff>22320</xdr:rowOff>
    </xdr:to>
    <xdr:graphicFrame>
      <xdr:nvGraphicFramePr>
        <xdr:cNvPr id="2" name="Chart 2"/>
        <xdr:cNvGraphicFramePr/>
      </xdr:nvGraphicFramePr>
      <xdr:xfrm>
        <a:off x="5286240" y="556272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42</xdr:row>
      <xdr:rowOff>0</xdr:rowOff>
    </xdr:from>
    <xdr:to>
      <xdr:col>7</xdr:col>
      <xdr:colOff>684720</xdr:colOff>
      <xdr:row>57</xdr:row>
      <xdr:rowOff>22320</xdr:rowOff>
    </xdr:to>
    <xdr:graphicFrame>
      <xdr:nvGraphicFramePr>
        <xdr:cNvPr id="3" name="Chart 3"/>
        <xdr:cNvGraphicFramePr/>
      </xdr:nvGraphicFramePr>
      <xdr:xfrm>
        <a:off x="211320" y="8801280"/>
        <a:ext cx="575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ActualCostTbl" displayName="ActualCostTbl" ref="A4:L49" headerRowCount="1" totalsRowCount="0" totalsRowShown="0">
  <autoFilter ref="A4:L49"/>
  <tableColumns count="12">
    <tableColumn id="1" name="Date"/>
    <tableColumn id="2" name="Vendor / Payee"/>
    <tableColumn id="3" name="Invoice No."/>
    <tableColumn id="4" name="Cost Head"/>
    <tableColumn id="5" name="Subcategory"/>
    <tableColumn id="6" name="Description"/>
    <tableColumn id="7" name="Estimated Amount (₹)"/>
    <tableColumn id="8" name="Actual Amount (₹)"/>
    <tableColumn id="9" name="Payment Status"/>
    <tableColumn id="10" name="Paid By"/>
    <tableColumn id="11" name="Mode of Payment"/>
    <tableColumn id="12" name="Remarks"/>
  </tableColumns>
</table>
</file>

<file path=xl/tables/table2.xml><?xml version="1.0" encoding="utf-8"?>
<table xmlns="http://schemas.openxmlformats.org/spreadsheetml/2006/main" id="2" name="BarCostTbl" displayName="BarCostTbl" ref="A4:H17" headerRowCount="1" totalsRowCount="0" totalsRowShown="0">
  <autoFilter ref="A4:H17"/>
  <tableColumns count="8">
    <tableColumn id="1" name="Category"/>
    <tableColumn id="2" name="Item"/>
    <tableColumn id="3" name="Unit"/>
    <tableColumn id="4" name="Quantity"/>
    <tableColumn id="5" name="Rate per Unit (₹)"/>
    <tableColumn id="6" name="No. of Days"/>
    <tableColumn id="7" name="Total Cost (₹)"/>
    <tableColumn id="8" name="Notes"/>
  </tableColumns>
</table>
</file>

<file path=xl/tables/table3.xml><?xml version="1.0" encoding="utf-8"?>
<table xmlns="http://schemas.openxmlformats.org/spreadsheetml/2006/main" id="3" name="ChefCostTbl" displayName="ChefCostTbl" ref="A4:I14" headerRowCount="1" totalsRowCount="0" totalsRowShown="0">
  <autoFilter ref="A4:I14"/>
  <tableColumns count="9">
    <tableColumn id="1" name="Chef Role"/>
    <tableColumn id="2" name="No. of Chefs"/>
    <tableColumn id="3" name="No. of Shifts / Days"/>
    <tableColumn id="4" name="Rate per Shift (₹)"/>
    <tableColumn id="5" name="Travel Allowance (₹)"/>
    <tableColumn id="6" name="Meal Cost (₹)"/>
    <tableColumn id="7" name="Accommodation Cost (₹)"/>
    <tableColumn id="8" name="Total Cost (₹)"/>
    <tableColumn id="9" name="Notes"/>
  </tableColumns>
</table>
</file>

<file path=xl/tables/table4.xml><?xml version="1.0" encoding="utf-8"?>
<table xmlns="http://schemas.openxmlformats.org/spreadsheetml/2006/main" id="4" name="CoffeeCostTbl" displayName="CoffeeCostTbl" ref="A4:H14" headerRowCount="1" totalsRowCount="0" totalsRowShown="0">
  <autoFilter ref="A4:H14"/>
  <tableColumns count="8">
    <tableColumn id="1" name="Item Category"/>
    <tableColumn id="2" name="Item"/>
    <tableColumn id="3" name="Unit"/>
    <tableColumn id="4" name="Quantity"/>
    <tableColumn id="5" name="Rate per Unit (₹)"/>
    <tableColumn id="6" name="No. of Days"/>
    <tableColumn id="7" name="Total Cost (₹)"/>
    <tableColumn id="8" name="Notes"/>
  </tableColumns>
</table>
</file>

<file path=xl/tables/table5.xml><?xml version="1.0" encoding="utf-8"?>
<table xmlns="http://schemas.openxmlformats.org/spreadsheetml/2006/main" id="5" name="DashboardChartData" displayName="DashboardChartData" ref="B15:E23" headerRowCount="1" totalsRowCount="0" totalsRowShown="0">
  <autoFilter ref="B15:E23"/>
  <tableColumns count="4">
    <tableColumn id="1" name="Cost Head"/>
    <tableColumn id="2" name="Estimated Cost (₹)"/>
    <tableColumn id="3" name="Actual Cost (₹)"/>
    <tableColumn id="4" name="% Contribution"/>
  </tableColumns>
</table>
</file>

<file path=xl/tables/table6.xml><?xml version="1.0" encoding="utf-8"?>
<table xmlns="http://schemas.openxmlformats.org/spreadsheetml/2006/main" id="6" name="DishSummaryTbl" displayName="DishSummaryTbl" ref="A20:C24" headerRowCount="1" totalsRowCount="0" totalsRowShown="0">
  <autoFilter ref="A20:C24"/>
  <tableColumns count="3">
    <tableColumn id="1" name="Dish Name"/>
    <tableColumn id="2" name="Total Dish Cost (₹)"/>
    <tableColumn id="3" name="Cost per Pax (₹)"/>
  </tableColumns>
</table>
</file>

<file path=xl/tables/table7.xml><?xml version="1.0" encoding="utf-8"?>
<table xmlns="http://schemas.openxmlformats.org/spreadsheetml/2006/main" id="7" name="EstVsActTbl" displayName="EstVsActTbl" ref="B4:H12" headerRowCount="1" totalsRowCount="0" totalsRowShown="0">
  <autoFilter ref="B4:H12"/>
  <tableColumns count="7">
    <tableColumn id="1" name="Cost Head"/>
    <tableColumn id="2" name="Estimated Cost (₹)"/>
    <tableColumn id="3" name="Actual Cost (₹)"/>
    <tableColumn id="4" name="Variance Amount (₹)"/>
    <tableColumn id="5" name="Variance %"/>
    <tableColumn id="6" name="Status"/>
    <tableColumn id="7" name="Remarks"/>
  </tableColumns>
</table>
</file>

<file path=xl/tables/table8.xml><?xml version="1.0" encoding="utf-8"?>
<table xmlns="http://schemas.openxmlformats.org/spreadsheetml/2006/main" id="8" name="FoodCostTbl" displayName="FoodCostTbl" ref="A4:L16" headerRowCount="1" totalsRowCount="0" totalsRowShown="0">
  <autoFilter ref="A4:L16"/>
  <tableColumns count="12">
    <tableColumn id="1" name="Menu Section"/>
    <tableColumn id="2" name="Dish Name"/>
    <tableColumn id="3" name="Ingredient Category"/>
    <tableColumn id="4" name="Ingredient Name"/>
    <tableColumn id="5" name="Unit"/>
    <tableColumn id="6" name="Quantity per Pax"/>
    <tableColumn id="7" name="Costing Pax"/>
    <tableColumn id="8" name="Total Quantity Required"/>
    <tableColumn id="9" name="Rate per Unit (₹)"/>
    <tableColumn id="10" name="Wastage %"/>
    <tableColumn id="11" name="Total Ingredient Cost (₹)"/>
    <tableColumn id="12" name="Notes"/>
  </tableColumns>
</table>
</file>

<file path=xl/tables/table9.xml><?xml version="1.0" encoding="utf-8"?>
<table xmlns="http://schemas.openxmlformats.org/spreadsheetml/2006/main" id="9" name="MiscCostTbl" displayName="MiscCostTbl" ref="A4:G15" headerRowCount="1" totalsRowCount="0" totalsRowShown="0">
  <autoFilter ref="A4:G15"/>
  <tableColumns count="7">
    <tableColumn id="1" name="Expense Category"/>
    <tableColumn id="2" name="Expense Description"/>
    <tableColumn id="3" name="Quantity"/>
    <tableColumn id="4" name="Unit Rate (₹)"/>
    <tableColumn id="5" name="Total Cost (₹)"/>
    <tableColumn id="6" name="Required?"/>
    <tableColumn id="7" name="Notes"/>
  </tableColumns>
</table>
</file>

<file path=xl/tables/table10.xml><?xml version="1.0" encoding="utf-8"?>
<table xmlns="http://schemas.openxmlformats.org/spreadsheetml/2006/main" id="10" name="RateMaster_Bar" displayName="RateMaster_Bar" ref="A45:G49" headerRowCount="1" totalsRowCount="0" totalsRowShown="0">
  <autoFilter ref="A45:G49"/>
  <tableColumns count="7">
    <tableColumn id="1" name="Category"/>
    <tableColumn id="2" name="Item"/>
    <tableColumn id="3" name="Unit"/>
    <tableColumn id="4" name="Standard Rate (₹)"/>
    <tableColumn id="5" name="Preferred Vendor"/>
    <tableColumn id="6" name="Last Updated"/>
    <tableColumn id="7" name="Notes"/>
  </tableColumns>
</table>
</file>

<file path=xl/tables/table11.xml><?xml version="1.0" encoding="utf-8"?>
<table xmlns="http://schemas.openxmlformats.org/spreadsheetml/2006/main" id="11" name="RateMaster_Chef" displayName="RateMaster_Chef" ref="A14:G19" headerRowCount="1" totalsRowCount="0" totalsRowShown="0">
  <autoFilter ref="A14:G19"/>
  <tableColumns count="7">
    <tableColumn id="1" name="Category"/>
    <tableColumn id="2" name="Item"/>
    <tableColumn id="3" name="Unit"/>
    <tableColumn id="4" name="Standard Rate (₹)"/>
    <tableColumn id="5" name="Preferred Vendor"/>
    <tableColumn id="6" name="Last Updated"/>
    <tableColumn id="7" name="Notes"/>
  </tableColumns>
</table>
</file>

<file path=xl/tables/table12.xml><?xml version="1.0" encoding="utf-8"?>
<table xmlns="http://schemas.openxmlformats.org/spreadsheetml/2006/main" id="12" name="RateMaster_Coffee" displayName="RateMaster_Coffee" ref="A38:G42" headerRowCount="1" totalsRowCount="0" totalsRowShown="0">
  <autoFilter ref="A38:G42"/>
  <tableColumns count="7">
    <tableColumn id="1" name="Category"/>
    <tableColumn id="2" name="Item"/>
    <tableColumn id="3" name="Unit"/>
    <tableColumn id="4" name="Standard Rate (₹)"/>
    <tableColumn id="5" name="Preferred Vendor"/>
    <tableColumn id="6" name="Last Updated"/>
    <tableColumn id="7" name="Notes"/>
  </tableColumns>
</table>
</file>

<file path=xl/tables/table13.xml><?xml version="1.0" encoding="utf-8"?>
<table xmlns="http://schemas.openxmlformats.org/spreadsheetml/2006/main" id="13" name="RateMaster_Crockery" displayName="RateMaster_Crockery" ref="A22:G26" headerRowCount="1" totalsRowCount="0" totalsRowShown="0">
  <autoFilter ref="A22:G26"/>
  <tableColumns count="7">
    <tableColumn id="1" name="Category"/>
    <tableColumn id="2" name="Item"/>
    <tableColumn id="3" name="Unit"/>
    <tableColumn id="4" name="Standard Rate (₹)"/>
    <tableColumn id="5" name="Preferred Vendor"/>
    <tableColumn id="6" name="Last Updated"/>
    <tableColumn id="7" name="Notes"/>
  </tableColumns>
</table>
</file>

<file path=xl/tables/table14.xml><?xml version="1.0" encoding="utf-8"?>
<table xmlns="http://schemas.openxmlformats.org/spreadsheetml/2006/main" id="14" name="RateMaster_Food" displayName="RateMaster_Food" ref="A29:G35" headerRowCount="1" totalsRowCount="0" totalsRowShown="0">
  <autoFilter ref="A29:G35"/>
  <tableColumns count="7">
    <tableColumn id="1" name="Category"/>
    <tableColumn id="2" name="Item"/>
    <tableColumn id="3" name="Unit"/>
    <tableColumn id="4" name="Standard Rate (₹)"/>
    <tableColumn id="5" name="Preferred Vendor"/>
    <tableColumn id="6" name="Last Updated"/>
    <tableColumn id="7" name="Notes"/>
  </tableColumns>
</table>
</file>

<file path=xl/tables/table15.xml><?xml version="1.0" encoding="utf-8"?>
<table xmlns="http://schemas.openxmlformats.org/spreadsheetml/2006/main" id="15" name="RateMaster_Miscellaneous" displayName="RateMaster_Miscellaneous" ref="A59:G62" headerRowCount="1" totalsRowCount="0" totalsRowShown="0">
  <autoFilter ref="A59:G62"/>
  <tableColumns count="7">
    <tableColumn id="1" name="Category"/>
    <tableColumn id="2" name="Item"/>
    <tableColumn id="3" name="Unit"/>
    <tableColumn id="4" name="Standard Rate (₹)"/>
    <tableColumn id="5" name="Preferred Vendor"/>
    <tableColumn id="6" name="Last Updated"/>
    <tableColumn id="7" name="Notes"/>
  </tableColumns>
</table>
</file>

<file path=xl/tables/table16.xml><?xml version="1.0" encoding="utf-8"?>
<table xmlns="http://schemas.openxmlformats.org/spreadsheetml/2006/main" id="16" name="RateMaster_Staff" displayName="RateMaster_Staff" ref="A5:G11" headerRowCount="1" totalsRowCount="0" totalsRowShown="0">
  <autoFilter ref="A5:G11"/>
  <tableColumns count="7">
    <tableColumn id="1" name="Category"/>
    <tableColumn id="2" name="Item"/>
    <tableColumn id="3" name="Unit"/>
    <tableColumn id="4" name="Standard Rate (₹)"/>
    <tableColumn id="5" name="Preferred Vendor"/>
    <tableColumn id="6" name="Last Updated"/>
    <tableColumn id="7" name="Notes"/>
  </tableColumns>
</table>
</file>

<file path=xl/tables/table17.xml><?xml version="1.0" encoding="utf-8"?>
<table xmlns="http://schemas.openxmlformats.org/spreadsheetml/2006/main" id="17" name="RateMaster_Transportation" displayName="RateMaster_Transportation" ref="A52:G56" headerRowCount="1" totalsRowCount="0" totalsRowShown="0">
  <autoFilter ref="A52:G56"/>
  <tableColumns count="7">
    <tableColumn id="1" name="Category"/>
    <tableColumn id="2" name="Item"/>
    <tableColumn id="3" name="Unit"/>
    <tableColumn id="4" name="Standard Rate (₹)"/>
    <tableColumn id="5" name="Preferred Vendor"/>
    <tableColumn id="6" name="Last Updated"/>
    <tableColumn id="7" name="Notes"/>
  </tableColumns>
</table>
</file>

<file path=xl/tables/table18.xml><?xml version="1.0" encoding="utf-8"?>
<table xmlns="http://schemas.openxmlformats.org/spreadsheetml/2006/main" id="18" name="ServiceCostTbl" displayName="ServiceCostTbl" ref="A4:L14" headerRowCount="1" totalsRowCount="0" totalsRowShown="0">
  <autoFilter ref="A4:L14"/>
  <tableColumns count="12">
    <tableColumn id="1" name="Role Category"/>
    <tableColumn id="2" name="Role"/>
    <tableColumn id="3" name="Description"/>
    <tableColumn id="4" name="No. of Staff"/>
    <tableColumn id="5" name="No. of Shifts / Days"/>
    <tableColumn id="6" name="Hours per Shift"/>
    <tableColumn id="7" name="Rate per Shift (₹)"/>
    <tableColumn id="8" name="Staff Meal Required?"/>
    <tableColumn id="9" name="Staff Meal Cost (₹)"/>
    <tableColumn id="10" name="Conveyance / Allowance (₹)"/>
    <tableColumn id="11" name="Total Cost (₹)"/>
    <tableColumn id="12" name="Notes"/>
  </tableColumns>
</table>
</file>

<file path=xl/tables/table19.xml><?xml version="1.0" encoding="utf-8"?>
<table xmlns="http://schemas.openxmlformats.org/spreadsheetml/2006/main" id="19" name="SetupCostTbl" displayName="SetupCostTbl" ref="A4:K16" headerRowCount="1" totalsRowCount="0" totalsRowShown="0">
  <autoFilter ref="A4:K16"/>
  <tableColumns count="11">
    <tableColumn id="1" name="Setup Category"/>
    <tableColumn id="2" name="Item / Resource"/>
    <tableColumn id="3" name="Description"/>
    <tableColumn id="4" name="Quantity"/>
    <tableColumn id="5" name="No. of Days"/>
    <tableColumn id="6" name="Unit Rate (₹)"/>
    <tableColumn id="7" name="Damage Buffer %"/>
    <tableColumn id="8" name="Setup / Handling Cost (₹)"/>
    <tableColumn id="9" name="Total Cost (₹)"/>
    <tableColumn id="10" name="Vendor / Source"/>
    <tableColumn id="11" name="Notes"/>
  </tableColumns>
</table>
</file>

<file path=xl/tables/table20.xml><?xml version="1.0" encoding="utf-8"?>
<table xmlns="http://schemas.openxmlformats.org/spreadsheetml/2006/main" id="20" name="TransportCostTbl" displayName="TransportCostTbl" ref="A4:K9" headerRowCount="1" totalsRowCount="0" totalsRowShown="0">
  <autoFilter ref="A4:K9"/>
  <tableColumns count="11">
    <tableColumn id="1" name="Vehicle Type"/>
    <tableColumn id="2" name="Purpose"/>
    <tableColumn id="3" name="No. of Vehicles"/>
    <tableColumn id="4" name="No. of Trips"/>
    <tableColumn id="5" name="Rate per Trip (₹)"/>
    <tableColumn id="6" name="Fuel / Toll / Parking (₹)"/>
    <tableColumn id="7" name="Driver Charges (₹)"/>
    <tableColumn id="8" name="Loading / Unloading Cost (₹)"/>
    <tableColumn id="9" name="Night Charges (₹)"/>
    <tableColumn id="10" name="Total Cost (₹)"/>
    <tableColumn id="11"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 Id="rId3" Type="http://schemas.openxmlformats.org/officeDocument/2006/relationships/table" Target="../tables/table18.xml"/>
</Relationships>
</file>

<file path=xl/worksheets/_rels/sheet4.xml.rels><?xml version="1.0" encoding="UTF-8"?>
<Relationships xmlns="http://schemas.openxmlformats.org/package/2006/relationships"><Relationship Id="rId1" Type="http://schemas.openxmlformats.org/officeDocument/2006/relationships/table" Target="../tables/table19.xml"/>
</Relationships>
</file>

<file path=xl/worksheets/_rels/sheet5.xml.rels><?xml version="1.0" encoding="UTF-8"?>
<Relationships xmlns="http://schemas.openxmlformats.org/package/2006/relationships"><Relationship Id="rId1" Type="http://schemas.openxmlformats.org/officeDocument/2006/relationships/table" Target="../tables/table6.xml"/><Relationship Id="rId2" Type="http://schemas.openxmlformats.org/officeDocument/2006/relationships/table" Target="../tables/table8.xml"/>
</Relationships>
</file>

<file path=xl/worksheets/_rels/sheet6.xml.rels><?xml version="1.0" encoding="UTF-8"?>
<Relationships xmlns="http://schemas.openxmlformats.org/package/2006/relationships"><Relationship Id="rId1" Type="http://schemas.openxmlformats.org/officeDocument/2006/relationships/table" Target="../tables/table4.xml"/>
</Relationships>
</file>

<file path=xl/worksheets/_rels/sheet7.xml.rels><?xml version="1.0" encoding="UTF-8"?>
<Relationships xmlns="http://schemas.openxmlformats.org/package/2006/relationships"><Relationship Id="rId1" Type="http://schemas.openxmlformats.org/officeDocument/2006/relationships/table" Target="../tables/table2.xml"/>
</Relationships>
</file>

<file path=xl/worksheets/_rels/sheet8.xml.rels><?xml version="1.0" encoding="UTF-8"?>
<Relationships xmlns="http://schemas.openxmlformats.org/package/2006/relationships"><Relationship Id="rId1" Type="http://schemas.openxmlformats.org/officeDocument/2006/relationships/table" Target="../tables/table9.xml"/>
</Relationships>
</file>

<file path=xl/worksheets/_rels/sheet9.xml.rels><?xml version="1.0" encoding="UTF-8"?>
<Relationships xmlns="http://schemas.openxmlformats.org/package/2006/relationships"><Relationship Id="rId1" Type="http://schemas.openxmlformats.org/officeDocument/2006/relationships/table" Target="../tables/table3.xml"/>
</Relationships>
</file>

<file path=xl/worksheets/_rels/sheet10.xml.rels><?xml version="1.0" encoding="UTF-8"?>
<Relationships xmlns="http://schemas.openxmlformats.org/package/2006/relationships"><Relationship Id="rId1" Type="http://schemas.openxmlformats.org/officeDocument/2006/relationships/table" Target="../tables/table20.xml"/>
</Relationships>
</file>

<file path=xl/worksheets/_rels/sheet11.xml.rels><?xml version="1.0" encoding="UTF-8"?>
<Relationships xmlns="http://schemas.openxmlformats.org/package/2006/relationships"><Relationship Id="rId1" Type="http://schemas.openxmlformats.org/officeDocument/2006/relationships/table" Target="../tables/table1.xml"/>
</Relationships>
</file>

<file path=xl/worksheets/_rels/sheet12.xml.rels><?xml version="1.0" encoding="UTF-8"?>
<Relationships xmlns="http://schemas.openxmlformats.org/package/2006/relationships"><Relationship Id="rId1" Type="http://schemas.openxmlformats.org/officeDocument/2006/relationships/table" Target="../tables/table7.xml"/>
</Relationships>
</file>

<file path=xl/worksheets/_rels/sheet13.xml.rels><?xml version="1.0" encoding="UTF-8"?>
<Relationships xmlns="http://schemas.openxmlformats.org/package/2006/relationships"><Relationship Id="rId1" Type="http://schemas.openxmlformats.org/officeDocument/2006/relationships/table" Target="../tables/table10.xml"/><Relationship Id="rId2" Type="http://schemas.openxmlformats.org/officeDocument/2006/relationships/table" Target="../tables/table11.xml"/><Relationship Id="rId3" Type="http://schemas.openxmlformats.org/officeDocument/2006/relationships/table" Target="../tables/table12.xml"/><Relationship Id="rId4" Type="http://schemas.openxmlformats.org/officeDocument/2006/relationships/table" Target="../tables/table13.xml"/><Relationship Id="rId5" Type="http://schemas.openxmlformats.org/officeDocument/2006/relationships/table" Target="../tables/table14.xml"/><Relationship Id="rId6" Type="http://schemas.openxmlformats.org/officeDocument/2006/relationships/table" Target="../tables/table15.xml"/><Relationship Id="rId7" Type="http://schemas.openxmlformats.org/officeDocument/2006/relationships/table" Target="../tables/table16.xml"/><Relationship Id="rId8" Type="http://schemas.openxmlformats.org/officeDocument/2006/relationships/table" Target="../tables/table17.xml"/>
</Relationships>
</file>

<file path=xl/worksheets/_rels/sheet1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34"/>
    <col collapsed="false" customWidth="true" hidden="false" outlineLevel="0" max="4" min="4" style="0" width="3"/>
    <col collapsed="false" customWidth="true" hidden="false" outlineLevel="0" max="5" min="5" style="0" width="46"/>
  </cols>
  <sheetData>
    <row r="1" customFormat="false" ht="24" hidden="false" customHeight="true" outlineLevel="0" collapsed="false">
      <c r="A1" s="1" t="s">
        <v>0</v>
      </c>
      <c r="B1" s="1"/>
      <c r="C1" s="1"/>
      <c r="D1" s="1"/>
      <c r="E1" s="1"/>
    </row>
    <row r="2" customFormat="false" ht="15.75" hidden="false" customHeight="true" outlineLevel="0" collapsed="false">
      <c r="A2" s="2" t="s">
        <v>1</v>
      </c>
      <c r="B2" s="2"/>
      <c r="C2" s="2"/>
      <c r="D2" s="2"/>
      <c r="E2" s="2"/>
    </row>
    <row r="4" customFormat="false" ht="19.5" hidden="false" customHeight="true" outlineLevel="0" collapsed="false">
      <c r="A4" s="3" t="s">
        <v>2</v>
      </c>
      <c r="B4" s="3"/>
      <c r="C4" s="3"/>
      <c r="D4" s="3"/>
      <c r="E4" s="3"/>
    </row>
    <row r="5" customFormat="false" ht="18" hidden="false" customHeight="true" outlineLevel="0" collapsed="false">
      <c r="B5" s="4" t="s">
        <v>3</v>
      </c>
      <c r="C5" s="5" t="s">
        <v>4</v>
      </c>
    </row>
    <row r="6" customFormat="false" ht="18" hidden="false" customHeight="true" outlineLevel="0" collapsed="false">
      <c r="B6" s="4" t="s">
        <v>5</v>
      </c>
      <c r="C6" s="5" t="s">
        <v>6</v>
      </c>
    </row>
    <row r="7" customFormat="false" ht="18" hidden="false" customHeight="true" outlineLevel="0" collapsed="false">
      <c r="B7" s="4" t="s">
        <v>7</v>
      </c>
      <c r="C7" s="6" t="s">
        <v>8</v>
      </c>
    </row>
    <row r="8" customFormat="false" ht="18" hidden="false" customHeight="true" outlineLevel="0" collapsed="false">
      <c r="B8" s="4" t="s">
        <v>9</v>
      </c>
      <c r="C8" s="5" t="s">
        <v>10</v>
      </c>
    </row>
    <row r="9" customFormat="false" ht="18" hidden="false" customHeight="true" outlineLevel="0" collapsed="false">
      <c r="B9" s="4" t="s">
        <v>11</v>
      </c>
      <c r="C9" s="5" t="s">
        <v>12</v>
      </c>
    </row>
    <row r="10" customFormat="false" ht="18" hidden="false" customHeight="true" outlineLevel="0" collapsed="false">
      <c r="B10" s="4" t="s">
        <v>13</v>
      </c>
      <c r="C10" s="5" t="s">
        <v>14</v>
      </c>
    </row>
    <row r="11" customFormat="false" ht="18" hidden="false" customHeight="true" outlineLevel="0" collapsed="false">
      <c r="B11" s="4" t="s">
        <v>15</v>
      </c>
      <c r="C11" s="7" t="n">
        <v>400</v>
      </c>
    </row>
    <row r="12" customFormat="false" ht="18" hidden="false" customHeight="true" outlineLevel="0" collapsed="false">
      <c r="B12" s="4" t="s">
        <v>16</v>
      </c>
      <c r="C12" s="8" t="n">
        <v>0.08</v>
      </c>
    </row>
    <row r="13" customFormat="false" ht="18" hidden="false" customHeight="true" outlineLevel="0" collapsed="false">
      <c r="B13" s="4" t="s">
        <v>17</v>
      </c>
      <c r="C13" s="9" t="n">
        <f aca="false">C11*(1+C12)</f>
        <v>432</v>
      </c>
    </row>
    <row r="14" customFormat="false" ht="18" hidden="false" customHeight="true" outlineLevel="0" collapsed="false">
      <c r="B14" s="4" t="s">
        <v>18</v>
      </c>
      <c r="C14" s="7" t="n">
        <v>2</v>
      </c>
    </row>
    <row r="15" customFormat="false" ht="18" hidden="false" customHeight="true" outlineLevel="0" collapsed="false">
      <c r="B15" s="4" t="s">
        <v>19</v>
      </c>
      <c r="C15" s="6" t="s">
        <v>20</v>
      </c>
    </row>
    <row r="16" customFormat="false" ht="18" hidden="false" customHeight="true" outlineLevel="0" collapsed="false">
      <c r="B16" s="4" t="s">
        <v>21</v>
      </c>
      <c r="C16" s="6" t="s">
        <v>22</v>
      </c>
    </row>
    <row r="17" customFormat="false" ht="18" hidden="false" customHeight="true" outlineLevel="0" collapsed="false">
      <c r="B17" s="4" t="s">
        <v>23</v>
      </c>
      <c r="C17" s="5" t="s">
        <v>24</v>
      </c>
    </row>
    <row r="18" customFormat="false" ht="18" hidden="false" customHeight="true" outlineLevel="0" collapsed="false">
      <c r="B18" s="4" t="s">
        <v>25</v>
      </c>
      <c r="C18" s="5" t="s">
        <v>26</v>
      </c>
    </row>
    <row r="19" customFormat="false" ht="18" hidden="false" customHeight="true" outlineLevel="0" collapsed="false">
      <c r="B19" s="4" t="s">
        <v>27</v>
      </c>
      <c r="C19" s="5" t="s">
        <v>28</v>
      </c>
    </row>
    <row r="20" customFormat="false" ht="18" hidden="false" customHeight="true" outlineLevel="0" collapsed="false">
      <c r="B20" s="4" t="s">
        <v>29</v>
      </c>
      <c r="C20" s="5" t="s">
        <v>30</v>
      </c>
    </row>
    <row r="21" customFormat="false" ht="18" hidden="false" customHeight="true" outlineLevel="0" collapsed="false">
      <c r="B21" s="4" t="s">
        <v>31</v>
      </c>
      <c r="C21" s="5" t="s">
        <v>32</v>
      </c>
    </row>
    <row r="22" customFormat="false" ht="18" hidden="false" customHeight="true" outlineLevel="0" collapsed="false">
      <c r="B22" s="4" t="s">
        <v>33</v>
      </c>
      <c r="C22" s="6" t="s">
        <v>34</v>
      </c>
    </row>
    <row r="23" customFormat="false" ht="18" hidden="false" customHeight="true" outlineLevel="0" collapsed="false">
      <c r="B23" s="10" t="s">
        <v>35</v>
      </c>
      <c r="C23" s="11" t="s">
        <v>36</v>
      </c>
    </row>
    <row r="24" customFormat="false" ht="15" hidden="false" customHeight="false" outlineLevel="0" collapsed="false">
      <c r="B24" s="12"/>
      <c r="C24" s="11"/>
    </row>
    <row r="25" customFormat="false" ht="15" hidden="false" customHeight="false" outlineLevel="0" collapsed="false">
      <c r="B25" s="12"/>
      <c r="C25" s="11"/>
    </row>
    <row r="27" customFormat="false" ht="19.5" hidden="false" customHeight="true" outlineLevel="0" collapsed="false">
      <c r="A27" s="3" t="s">
        <v>37</v>
      </c>
      <c r="B27" s="3"/>
      <c r="C27" s="3"/>
      <c r="D27" s="3"/>
      <c r="E27" s="3"/>
    </row>
    <row r="28" customFormat="false" ht="18" hidden="false" customHeight="true" outlineLevel="0" collapsed="false">
      <c r="B28" s="4" t="s">
        <v>38</v>
      </c>
      <c r="C28" s="8" t="n">
        <v>0.05</v>
      </c>
    </row>
    <row r="29" customFormat="false" ht="18" hidden="false" customHeight="true" outlineLevel="0" collapsed="false">
      <c r="B29" s="4" t="s">
        <v>39</v>
      </c>
      <c r="C29" s="8" t="n">
        <v>0.03</v>
      </c>
    </row>
    <row r="30" customFormat="false" ht="18" hidden="false" customHeight="true" outlineLevel="0" collapsed="false">
      <c r="B30" s="4" t="s">
        <v>40</v>
      </c>
      <c r="C30" s="8" t="n">
        <v>0.18</v>
      </c>
    </row>
    <row r="31" customFormat="false" ht="18" hidden="false" customHeight="true" outlineLevel="0" collapsed="false">
      <c r="B31" s="4" t="s">
        <v>41</v>
      </c>
      <c r="C31" s="13" t="n">
        <v>180</v>
      </c>
    </row>
    <row r="32" customFormat="false" ht="18" hidden="false" customHeight="true" outlineLevel="0" collapsed="false">
      <c r="B32" s="4" t="s">
        <v>42</v>
      </c>
      <c r="C32" s="8" t="n">
        <v>0.05</v>
      </c>
    </row>
    <row r="33" customFormat="false" ht="18" hidden="false" customHeight="true" outlineLevel="0" collapsed="false">
      <c r="B33" s="4" t="s">
        <v>43</v>
      </c>
      <c r="C33" s="7" t="n">
        <v>8</v>
      </c>
    </row>
    <row r="34" customFormat="false" ht="18" hidden="false" customHeight="true" outlineLevel="0" collapsed="false">
      <c r="B34" s="4" t="s">
        <v>44</v>
      </c>
      <c r="C34" s="13" t="n">
        <v>1000</v>
      </c>
    </row>
    <row r="35" customFormat="false" ht="18" hidden="false" customHeight="true" outlineLevel="0" collapsed="false">
      <c r="B35" s="4" t="s">
        <v>45</v>
      </c>
      <c r="C35" s="13" t="n">
        <v>3500</v>
      </c>
    </row>
  </sheetData>
  <sheetProtection sheet="true" formatCells="false" formatColumns="false" formatRows="false" insertColumns="false" insertRows="false" deleteColumns="false" deleteRows="false" sort="false" autoFilter="false"/>
  <mergeCells count="5">
    <mergeCell ref="A1:E1"/>
    <mergeCell ref="A2:E2"/>
    <mergeCell ref="A4:E4"/>
    <mergeCell ref="C23:C25"/>
    <mergeCell ref="A27:E27"/>
  </mergeCells>
  <dataValidations count="3">
    <dataValidation allowBlank="true" errorStyle="stop" operator="between" showDropDown="false" showErrorMessage="false" showInputMessage="false" sqref="C10" type="list">
      <formula1>EventType</formula1>
      <formula2>0</formula2>
    </dataValidation>
    <dataValidation allowBlank="true" errorStyle="stop" operator="between" showDropDown="false" showErrorMessage="false" showInputMessage="false" sqref="C18" type="list">
      <formula1>MenuType</formula1>
      <formula2>0</formula2>
    </dataValidation>
    <dataValidation allowBlank="true" errorStyle="stop" operator="between" showDropDown="false" showErrorMessage="false" showInputMessage="false" sqref="C19" type="list">
      <formula1>ServiceStyle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20"/>
    <col collapsed="false" customWidth="true" hidden="false" outlineLevel="0" max="4" min="4" style="0" width="15"/>
    <col collapsed="false" customWidth="true" hidden="false" outlineLevel="0" max="5" min="5" style="0" width="40"/>
  </cols>
  <sheetData>
    <row r="1" customFormat="false" ht="24" hidden="false" customHeight="true" outlineLevel="0" collapsed="false">
      <c r="A1" s="1" t="s">
        <v>46</v>
      </c>
      <c r="B1" s="1"/>
      <c r="C1" s="1"/>
      <c r="D1" s="1"/>
      <c r="E1" s="1"/>
    </row>
    <row r="2" customFormat="false" ht="15.75" hidden="false" customHeight="true" outlineLevel="0" collapsed="false">
      <c r="A2" s="2" t="s">
        <v>47</v>
      </c>
      <c r="B2" s="2"/>
      <c r="C2" s="2"/>
      <c r="D2" s="2"/>
      <c r="E2" s="2"/>
    </row>
    <row r="4" customFormat="false" ht="19.5" hidden="false" customHeight="true" outlineLevel="0" collapsed="false">
      <c r="A4" s="3" t="s">
        <v>48</v>
      </c>
      <c r="B4" s="3"/>
      <c r="C4" s="3"/>
      <c r="D4" s="3"/>
      <c r="E4" s="3"/>
    </row>
    <row r="5" customFormat="false" ht="30" hidden="false" customHeight="true" outlineLevel="0" collapsed="false">
      <c r="B5" s="14" t="s">
        <v>49</v>
      </c>
      <c r="C5" s="14" t="s">
        <v>50</v>
      </c>
      <c r="D5" s="14" t="s">
        <v>51</v>
      </c>
      <c r="E5" s="14" t="s">
        <v>52</v>
      </c>
    </row>
    <row r="6" customFormat="false" ht="15" hidden="false" customHeight="false" outlineLevel="0" collapsed="false">
      <c r="B6" s="15" t="s">
        <v>53</v>
      </c>
      <c r="C6" s="16" t="n">
        <f aca="false">ServiceCostTotal</f>
        <v>117820</v>
      </c>
      <c r="D6" s="17" t="n">
        <f aca="false">C6/$C$16</f>
        <v>0.15360237466086</v>
      </c>
      <c r="E6" s="18" t="s">
        <v>54</v>
      </c>
    </row>
    <row r="7" customFormat="false" ht="15" hidden="false" customHeight="false" outlineLevel="0" collapsed="false">
      <c r="B7" s="15" t="s">
        <v>55</v>
      </c>
      <c r="C7" s="16" t="n">
        <f aca="false">SetupCostTotal</f>
        <v>225378</v>
      </c>
      <c r="D7" s="17" t="n">
        <f aca="false">C7/$C$16</f>
        <v>0.293826141540616</v>
      </c>
      <c r="E7" s="18" t="s">
        <v>56</v>
      </c>
    </row>
    <row r="8" customFormat="false" ht="15" hidden="false" customHeight="false" outlineLevel="0" collapsed="false">
      <c r="B8" s="15" t="s">
        <v>57</v>
      </c>
      <c r="C8" s="16" t="n">
        <f aca="false">FoodCostTotal</f>
        <v>38171.304</v>
      </c>
      <c r="D8" s="17" t="n">
        <f aca="false">C8/$C$16</f>
        <v>0.0497640717900322</v>
      </c>
      <c r="E8" s="18" t="s">
        <v>58</v>
      </c>
    </row>
    <row r="9" customFormat="false" ht="15" hidden="false" customHeight="false" outlineLevel="0" collapsed="false">
      <c r="B9" s="15" t="s">
        <v>59</v>
      </c>
      <c r="C9" s="16" t="n">
        <f aca="false">CoffeeCostTotal</f>
        <v>50420</v>
      </c>
      <c r="D9" s="17" t="n">
        <f aca="false">C9/$C$16</f>
        <v>0.0657327425768169</v>
      </c>
      <c r="E9" s="18" t="s">
        <v>60</v>
      </c>
    </row>
    <row r="10" customFormat="false" ht="15" hidden="false" customHeight="false" outlineLevel="0" collapsed="false">
      <c r="B10" s="15" t="s">
        <v>61</v>
      </c>
      <c r="C10" s="16" t="n">
        <f aca="false">BarCostTotal</f>
        <v>76780</v>
      </c>
      <c r="D10" s="17" t="n">
        <f aca="false">C10/$C$16</f>
        <v>0.100098373166363</v>
      </c>
      <c r="E10" s="18" t="s">
        <v>62</v>
      </c>
    </row>
    <row r="11" customFormat="false" ht="15" hidden="false" customHeight="false" outlineLevel="0" collapsed="false">
      <c r="B11" s="15" t="s">
        <v>63</v>
      </c>
      <c r="C11" s="16" t="n">
        <f aca="false">MiscCostTotal</f>
        <v>54500</v>
      </c>
      <c r="D11" s="17" t="n">
        <f aca="false">C11/$C$16</f>
        <v>0.0710518538365038</v>
      </c>
      <c r="E11" s="18" t="s">
        <v>64</v>
      </c>
    </row>
    <row r="12" customFormat="false" ht="15" hidden="false" customHeight="false" outlineLevel="0" collapsed="false">
      <c r="B12" s="15" t="s">
        <v>65</v>
      </c>
      <c r="C12" s="16" t="n">
        <f aca="false">ChefCostTotal</f>
        <v>117900</v>
      </c>
      <c r="D12" s="17" t="n">
        <f aca="false">C12/$C$16</f>
        <v>0.15370667096007</v>
      </c>
      <c r="E12" s="18" t="s">
        <v>66</v>
      </c>
    </row>
    <row r="13" customFormat="false" ht="15" hidden="false" customHeight="false" outlineLevel="0" collapsed="false">
      <c r="B13" s="15" t="s">
        <v>67</v>
      </c>
      <c r="C13" s="16" t="n">
        <f aca="false">TransportCostTotal</f>
        <v>63735</v>
      </c>
      <c r="D13" s="17" t="n">
        <f aca="false">C13/$C$16</f>
        <v>0.0830915578765059</v>
      </c>
      <c r="E13" s="18" t="s">
        <v>68</v>
      </c>
    </row>
    <row r="14" customFormat="false" ht="15" hidden="false" customHeight="false" outlineLevel="0" collapsed="false">
      <c r="B14" s="19" t="s">
        <v>69</v>
      </c>
      <c r="C14" s="20" t="n">
        <f aca="false">SUM(C6:C13)</f>
        <v>744704.304</v>
      </c>
      <c r="D14" s="19"/>
      <c r="E14" s="19"/>
    </row>
    <row r="15" customFormat="false" ht="15" hidden="false" customHeight="false" outlineLevel="0" collapsed="false">
      <c r="B15" s="10" t="s">
        <v>70</v>
      </c>
      <c r="C15" s="21" t="n">
        <f aca="false">C14*DefaultContingencyPct</f>
        <v>22341.12912</v>
      </c>
      <c r="D15" s="22" t="n">
        <f aca="false">C15/$C$16</f>
        <v>0.029126213592233</v>
      </c>
      <c r="E15" s="23" t="s">
        <v>71</v>
      </c>
    </row>
    <row r="16" customFormat="false" ht="15" hidden="false" customHeight="false" outlineLevel="0" collapsed="false">
      <c r="B16" s="24" t="s">
        <v>72</v>
      </c>
      <c r="C16" s="25" t="n">
        <f aca="false">C14+C15</f>
        <v>767045.43312</v>
      </c>
      <c r="D16" s="24"/>
      <c r="E16" s="24"/>
    </row>
    <row r="17" customFormat="false" ht="15" hidden="false" customHeight="false" outlineLevel="0" collapsed="false">
      <c r="B17" s="10" t="s">
        <v>73</v>
      </c>
      <c r="C17" s="26" t="n">
        <f aca="false">C16/CostingPax</f>
        <v>1775.56813222222</v>
      </c>
      <c r="D17" s="12"/>
      <c r="E17" s="12"/>
    </row>
    <row r="19" customFormat="false" ht="19.5" hidden="false" customHeight="true" outlineLevel="0" collapsed="false">
      <c r="A19" s="3" t="s">
        <v>74</v>
      </c>
      <c r="B19" s="3"/>
      <c r="C19" s="3"/>
      <c r="D19" s="3"/>
      <c r="E19" s="3"/>
    </row>
    <row r="20" customFormat="false" ht="15" hidden="false" customHeight="false" outlineLevel="0" collapsed="false">
      <c r="B20" s="27" t="s">
        <v>75</v>
      </c>
      <c r="C20" s="28" t="n">
        <v>0.2</v>
      </c>
      <c r="D20" s="29"/>
      <c r="E20" s="29"/>
    </row>
    <row r="21" customFormat="false" ht="15" hidden="false" customHeight="false" outlineLevel="0" collapsed="false">
      <c r="B21" s="27" t="s">
        <v>76</v>
      </c>
      <c r="C21" s="30" t="n">
        <f aca="false">TotalEstimatedBaseCost*C20</f>
        <v>153409.086624</v>
      </c>
      <c r="D21" s="29"/>
      <c r="E21" s="29"/>
    </row>
    <row r="22" customFormat="false" ht="15" hidden="false" customHeight="false" outlineLevel="0" collapsed="false">
      <c r="B22" s="27" t="s">
        <v>77</v>
      </c>
      <c r="C22" s="30" t="n">
        <f aca="false">TotalEstimatedBaseCost+C21</f>
        <v>920454.519744</v>
      </c>
      <c r="D22" s="29"/>
      <c r="E22" s="29"/>
    </row>
    <row r="23" customFormat="false" ht="15" hidden="false" customHeight="false" outlineLevel="0" collapsed="false">
      <c r="B23" s="27" t="s">
        <v>78</v>
      </c>
      <c r="C23" s="30" t="n">
        <f aca="false">C22*GSTPct</f>
        <v>165681.81355392</v>
      </c>
      <c r="D23" s="29"/>
      <c r="E23" s="29"/>
    </row>
    <row r="24" customFormat="false" ht="15" hidden="false" customHeight="false" outlineLevel="0" collapsed="false">
      <c r="B24" s="31" t="s">
        <v>79</v>
      </c>
      <c r="C24" s="32" t="n">
        <f aca="false">C22+C23</f>
        <v>1086136.33329792</v>
      </c>
      <c r="D24" s="29"/>
      <c r="E24" s="29"/>
    </row>
  </sheetData>
  <sheetProtection sheet="true" formatCells="false" formatColumns="false" formatRows="false" insertColumns="false" insertRows="false" deleteColumns="false" deleteRows="false" sort="false" autoFilter="false"/>
  <mergeCells count="4">
    <mergeCell ref="A1:E1"/>
    <mergeCell ref="A2:E2"/>
    <mergeCell ref="A4:E4"/>
    <mergeCell ref="A19:E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6"/>
    <col collapsed="false" customWidth="true" hidden="false" outlineLevel="0" max="3" min="3" style="0" width="30"/>
    <col collapsed="false" customWidth="true" hidden="false" outlineLevel="0" max="4" min="4" style="0" width="10"/>
    <col collapsed="false" customWidth="true" hidden="false" outlineLevel="0" max="5" min="5" style="0" width="12"/>
    <col collapsed="false" customWidth="true" hidden="false" outlineLevel="0" max="6" min="6" style="0" width="10"/>
    <col collapsed="false" customWidth="true" hidden="false" outlineLevel="0" max="7" min="7" style="0" width="13"/>
    <col collapsed="false" customWidth="true" hidden="false" outlineLevel="0" max="8" min="8" style="0" width="12"/>
    <col collapsed="false" customWidth="true" hidden="false" outlineLevel="0" max="9" min="9" style="0" width="13"/>
    <col collapsed="false" customWidth="true" hidden="false" outlineLevel="0" max="11" min="10" style="0" width="14"/>
    <col collapsed="false" customWidth="true" hidden="false" outlineLevel="0" max="12" min="12" style="0" width="24"/>
  </cols>
  <sheetData>
    <row r="1" customFormat="false" ht="24" hidden="false" customHeight="true" outlineLevel="0" collapsed="false">
      <c r="A1" s="1" t="s">
        <v>80</v>
      </c>
      <c r="B1" s="1"/>
      <c r="C1" s="1"/>
      <c r="D1" s="1"/>
      <c r="E1" s="1"/>
      <c r="F1" s="1"/>
      <c r="G1" s="1"/>
      <c r="H1" s="1"/>
      <c r="I1" s="1"/>
      <c r="J1" s="1"/>
      <c r="K1" s="1"/>
      <c r="L1" s="1"/>
    </row>
    <row r="2" customFormat="false" ht="15.75" hidden="false" customHeight="true" outlineLevel="0" collapsed="false">
      <c r="A2" s="2" t="s">
        <v>81</v>
      </c>
      <c r="B2" s="2"/>
      <c r="C2" s="2"/>
      <c r="D2" s="2"/>
      <c r="E2" s="2"/>
      <c r="F2" s="2"/>
      <c r="G2" s="2"/>
      <c r="H2" s="2"/>
      <c r="I2" s="2"/>
      <c r="J2" s="2"/>
      <c r="K2" s="2"/>
      <c r="L2" s="2"/>
    </row>
    <row r="4" customFormat="false" ht="30" hidden="false" customHeight="true" outlineLevel="0" collapsed="false">
      <c r="A4" s="14" t="s">
        <v>82</v>
      </c>
      <c r="B4" s="14" t="s">
        <v>83</v>
      </c>
      <c r="C4" s="14" t="s">
        <v>84</v>
      </c>
      <c r="D4" s="14" t="s">
        <v>85</v>
      </c>
      <c r="E4" s="14" t="s">
        <v>86</v>
      </c>
      <c r="F4" s="14" t="s">
        <v>87</v>
      </c>
      <c r="G4" s="14" t="s">
        <v>88</v>
      </c>
      <c r="H4" s="14" t="s">
        <v>89</v>
      </c>
      <c r="I4" s="14" t="s">
        <v>90</v>
      </c>
      <c r="J4" s="14" t="s">
        <v>91</v>
      </c>
      <c r="K4" s="14" t="s">
        <v>92</v>
      </c>
      <c r="L4" s="14" t="s">
        <v>52</v>
      </c>
    </row>
    <row r="5" customFormat="false" ht="20.85" hidden="false" customHeight="false" outlineLevel="0" collapsed="false">
      <c r="A5" s="33" t="s">
        <v>93</v>
      </c>
      <c r="B5" s="33" t="s">
        <v>94</v>
      </c>
      <c r="C5" s="33" t="s">
        <v>95</v>
      </c>
      <c r="D5" s="34" t="n">
        <v>2</v>
      </c>
      <c r="E5" s="35" t="n">
        <f aca="false">ServiceDays</f>
        <v>2</v>
      </c>
      <c r="F5" s="34" t="n">
        <v>8</v>
      </c>
      <c r="G5" s="36" t="n">
        <v>2500</v>
      </c>
      <c r="H5" s="33" t="s">
        <v>96</v>
      </c>
      <c r="I5" s="16" t="n">
        <f aca="false">IF(H5="Yes",D5*E5*StaffMealCost,0)</f>
        <v>0</v>
      </c>
      <c r="J5" s="36" t="n">
        <v>500</v>
      </c>
      <c r="K5" s="37" t="n">
        <f aca="false">D5*E5*G5+I5+J5</f>
        <v>10500</v>
      </c>
      <c r="L5" s="33"/>
    </row>
    <row r="6" customFormat="false" ht="15" hidden="false" customHeight="false" outlineLevel="0" collapsed="false">
      <c r="A6" s="33" t="s">
        <v>93</v>
      </c>
      <c r="B6" s="33" t="s">
        <v>97</v>
      </c>
      <c r="C6" s="33" t="s">
        <v>98</v>
      </c>
      <c r="D6" s="34" t="n">
        <v>4</v>
      </c>
      <c r="E6" s="35" t="n">
        <f aca="false">ServiceDays</f>
        <v>2</v>
      </c>
      <c r="F6" s="34" t="n">
        <v>8</v>
      </c>
      <c r="G6" s="36" t="n">
        <v>2200</v>
      </c>
      <c r="H6" s="33" t="s">
        <v>96</v>
      </c>
      <c r="I6" s="16" t="n">
        <f aca="false">IF(H6="Yes",D6*E6*StaffMealCost,0)</f>
        <v>0</v>
      </c>
      <c r="J6" s="36" t="n">
        <v>500</v>
      </c>
      <c r="K6" s="37" t="n">
        <f aca="false">D6*E6*G6+I6+J6</f>
        <v>18100</v>
      </c>
      <c r="L6" s="33"/>
    </row>
    <row r="7" customFormat="false" ht="15" hidden="false" customHeight="false" outlineLevel="0" collapsed="false">
      <c r="A7" s="33" t="s">
        <v>93</v>
      </c>
      <c r="B7" s="33" t="s">
        <v>99</v>
      </c>
      <c r="C7" s="33" t="s">
        <v>100</v>
      </c>
      <c r="D7" s="34" t="n">
        <v>10</v>
      </c>
      <c r="E7" s="35" t="n">
        <f aca="false">ServiceDays</f>
        <v>2</v>
      </c>
      <c r="F7" s="34" t="n">
        <v>8</v>
      </c>
      <c r="G7" s="36" t="n">
        <v>1200</v>
      </c>
      <c r="H7" s="33" t="s">
        <v>101</v>
      </c>
      <c r="I7" s="16" t="n">
        <f aca="false">IF(H7="Yes",D7*E7*StaffMealCost,0)</f>
        <v>3600</v>
      </c>
      <c r="J7" s="36" t="n">
        <v>300</v>
      </c>
      <c r="K7" s="37" t="n">
        <f aca="false">D7*E7*G7+I7+J7</f>
        <v>27900</v>
      </c>
      <c r="L7" s="33"/>
    </row>
    <row r="8" customFormat="false" ht="15" hidden="false" customHeight="false" outlineLevel="0" collapsed="false">
      <c r="A8" s="33" t="s">
        <v>102</v>
      </c>
      <c r="B8" s="33" t="s">
        <v>103</v>
      </c>
      <c r="C8" s="33" t="s">
        <v>104</v>
      </c>
      <c r="D8" s="34" t="n">
        <v>6</v>
      </c>
      <c r="E8" s="35" t="n">
        <f aca="false">ServiceDays</f>
        <v>2</v>
      </c>
      <c r="F8" s="34" t="n">
        <v>8</v>
      </c>
      <c r="G8" s="36" t="n">
        <v>1000</v>
      </c>
      <c r="H8" s="33" t="s">
        <v>101</v>
      </c>
      <c r="I8" s="16" t="n">
        <f aca="false">IF(H8="Yes",D8*E8*StaffMealCost,0)</f>
        <v>2160</v>
      </c>
      <c r="J8" s="36" t="n">
        <v>200</v>
      </c>
      <c r="K8" s="37" t="n">
        <f aca="false">D8*E8*G8+I8+J8</f>
        <v>14360</v>
      </c>
      <c r="L8" s="33"/>
    </row>
    <row r="9" customFormat="false" ht="15" hidden="false" customHeight="false" outlineLevel="0" collapsed="false">
      <c r="A9" s="33" t="s">
        <v>102</v>
      </c>
      <c r="B9" s="33" t="s">
        <v>105</v>
      </c>
      <c r="C9" s="33" t="s">
        <v>106</v>
      </c>
      <c r="D9" s="34" t="n">
        <v>5</v>
      </c>
      <c r="E9" s="35" t="n">
        <f aca="false">ServiceDays</f>
        <v>2</v>
      </c>
      <c r="F9" s="34" t="n">
        <v>8</v>
      </c>
      <c r="G9" s="36" t="n">
        <v>1100</v>
      </c>
      <c r="H9" s="33" t="s">
        <v>101</v>
      </c>
      <c r="I9" s="16" t="n">
        <f aca="false">IF(H9="Yes",D9*E9*StaffMealCost,0)</f>
        <v>1800</v>
      </c>
      <c r="J9" s="36" t="n">
        <v>200</v>
      </c>
      <c r="K9" s="37" t="n">
        <f aca="false">D9*E9*G9+I9+J9</f>
        <v>13000</v>
      </c>
      <c r="L9" s="33"/>
    </row>
    <row r="10" customFormat="false" ht="15" hidden="false" customHeight="false" outlineLevel="0" collapsed="false">
      <c r="A10" s="33" t="s">
        <v>102</v>
      </c>
      <c r="B10" s="33" t="s">
        <v>107</v>
      </c>
      <c r="C10" s="33" t="s">
        <v>108</v>
      </c>
      <c r="D10" s="34" t="n">
        <v>4</v>
      </c>
      <c r="E10" s="35" t="n">
        <f aca="false">ServiceDays</f>
        <v>2</v>
      </c>
      <c r="F10" s="34" t="n">
        <v>8</v>
      </c>
      <c r="G10" s="36" t="n">
        <v>900</v>
      </c>
      <c r="H10" s="33" t="s">
        <v>101</v>
      </c>
      <c r="I10" s="16" t="n">
        <f aca="false">IF(H10="Yes",D10*E10*StaffMealCost,0)</f>
        <v>1440</v>
      </c>
      <c r="J10" s="36" t="n">
        <v>150</v>
      </c>
      <c r="K10" s="37" t="n">
        <f aca="false">D10*E10*G10+I10+J10</f>
        <v>8790</v>
      </c>
      <c r="L10" s="33"/>
    </row>
    <row r="11" customFormat="false" ht="15" hidden="false" customHeight="false" outlineLevel="0" collapsed="false">
      <c r="A11" s="33" t="s">
        <v>102</v>
      </c>
      <c r="B11" s="33" t="s">
        <v>109</v>
      </c>
      <c r="C11" s="33" t="s">
        <v>110</v>
      </c>
      <c r="D11" s="34" t="n">
        <v>3</v>
      </c>
      <c r="E11" s="35" t="n">
        <f aca="false">ServiceDays</f>
        <v>2</v>
      </c>
      <c r="F11" s="34" t="n">
        <v>8</v>
      </c>
      <c r="G11" s="36" t="n">
        <v>900</v>
      </c>
      <c r="H11" s="33" t="s">
        <v>101</v>
      </c>
      <c r="I11" s="16" t="n">
        <f aca="false">IF(H11="Yes",D11*E11*StaffMealCost,0)</f>
        <v>1080</v>
      </c>
      <c r="J11" s="36" t="n">
        <v>150</v>
      </c>
      <c r="K11" s="37" t="n">
        <f aca="false">D11*E11*G11+I11+J11</f>
        <v>6630</v>
      </c>
      <c r="L11" s="33"/>
    </row>
    <row r="12" customFormat="false" ht="15" hidden="false" customHeight="false" outlineLevel="0" collapsed="false">
      <c r="A12" s="33" t="s">
        <v>111</v>
      </c>
      <c r="B12" s="33" t="s">
        <v>112</v>
      </c>
      <c r="C12" s="33" t="s">
        <v>113</v>
      </c>
      <c r="D12" s="34" t="n">
        <v>3</v>
      </c>
      <c r="E12" s="35" t="n">
        <f aca="false">ServiceDays</f>
        <v>2</v>
      </c>
      <c r="F12" s="34" t="n">
        <v>6</v>
      </c>
      <c r="G12" s="36" t="n">
        <v>900</v>
      </c>
      <c r="H12" s="33" t="s">
        <v>96</v>
      </c>
      <c r="I12" s="16" t="n">
        <f aca="false">IF(H12="Yes",D12*E12*StaffMealCost,0)</f>
        <v>0</v>
      </c>
      <c r="J12" s="36" t="n">
        <v>200</v>
      </c>
      <c r="K12" s="37" t="n">
        <f aca="false">D12*E12*G12+I12+J12</f>
        <v>5600</v>
      </c>
      <c r="L12" s="33"/>
    </row>
    <row r="13" customFormat="false" ht="15" hidden="false" customHeight="false" outlineLevel="0" collapsed="false">
      <c r="A13" s="33" t="s">
        <v>111</v>
      </c>
      <c r="B13" s="33" t="s">
        <v>114</v>
      </c>
      <c r="C13" s="33" t="s">
        <v>115</v>
      </c>
      <c r="D13" s="34" t="n">
        <v>4</v>
      </c>
      <c r="E13" s="35" t="n">
        <f aca="false">ServiceDays</f>
        <v>2</v>
      </c>
      <c r="F13" s="34" t="n">
        <v>8</v>
      </c>
      <c r="G13" s="36" t="n">
        <v>900</v>
      </c>
      <c r="H13" s="33" t="s">
        <v>101</v>
      </c>
      <c r="I13" s="16" t="n">
        <f aca="false">IF(H13="Yes",D13*E13*StaffMealCost,0)</f>
        <v>1440</v>
      </c>
      <c r="J13" s="36" t="n">
        <v>150</v>
      </c>
      <c r="K13" s="37" t="n">
        <f aca="false">D13*E13*G13+I13+J13</f>
        <v>8790</v>
      </c>
      <c r="L13" s="33"/>
    </row>
    <row r="14" customFormat="false" ht="15" hidden="false" customHeight="false" outlineLevel="0" collapsed="false">
      <c r="A14" s="33" t="s">
        <v>116</v>
      </c>
      <c r="B14" s="33" t="s">
        <v>116</v>
      </c>
      <c r="C14" s="33" t="s">
        <v>117</v>
      </c>
      <c r="D14" s="34" t="n">
        <v>2</v>
      </c>
      <c r="E14" s="35" t="n">
        <f aca="false">ServiceDays</f>
        <v>2</v>
      </c>
      <c r="F14" s="34" t="n">
        <v>8</v>
      </c>
      <c r="G14" s="36" t="n">
        <v>1000</v>
      </c>
      <c r="H14" s="33" t="s">
        <v>96</v>
      </c>
      <c r="I14" s="16" t="n">
        <f aca="false">IF(H14="Yes",D14*E14*StaffMealCost,0)</f>
        <v>0</v>
      </c>
      <c r="J14" s="36" t="n">
        <v>150</v>
      </c>
      <c r="K14" s="37" t="n">
        <f aca="false">D14*E14*G14+I14+J14</f>
        <v>4150</v>
      </c>
      <c r="L14" s="33"/>
    </row>
    <row r="15" customFormat="false" ht="15" hidden="false" customHeight="false" outlineLevel="0" collapsed="false">
      <c r="A15" s="24"/>
      <c r="B15" s="24"/>
      <c r="C15" s="24"/>
      <c r="D15" s="24"/>
      <c r="E15" s="24"/>
      <c r="F15" s="24"/>
      <c r="G15" s="24"/>
      <c r="H15" s="24"/>
      <c r="I15" s="24"/>
      <c r="J15" s="24"/>
      <c r="K15" s="25" t="n">
        <f aca="false">SUM(K5:K14)</f>
        <v>117820</v>
      </c>
      <c r="L15" s="24"/>
    </row>
  </sheetData>
  <sheetProtection sheet="true" formatCells="false" formatColumns="false" formatRows="false" insertColumns="false" insertRows="false" deleteColumns="false" deleteRows="false" sort="false" autoFilter="false"/>
  <mergeCells count="3">
    <mergeCell ref="A1:L1"/>
    <mergeCell ref="A2:L2"/>
    <mergeCell ref="A15:C15"/>
  </mergeCells>
  <dataValidations count="10">
    <dataValidation allowBlank="true" errorStyle="stop" operator="between" showDropDown="false" showErrorMessage="false" showInputMessage="false" sqref="H5" type="list">
      <formula1>YesNo</formula1>
      <formula2>0</formula2>
    </dataValidation>
    <dataValidation allowBlank="true" errorStyle="stop" operator="between" showDropDown="false" showErrorMessage="false" showInputMessage="false" sqref="H6" type="list">
      <formula1>YesNo</formula1>
      <formula2>0</formula2>
    </dataValidation>
    <dataValidation allowBlank="true" errorStyle="stop" operator="between" showDropDown="false" showErrorMessage="false" showInputMessage="false" sqref="H7" type="list">
      <formula1>YesNo</formula1>
      <formula2>0</formula2>
    </dataValidation>
    <dataValidation allowBlank="true" errorStyle="stop" operator="between" showDropDown="false" showErrorMessage="false" showInputMessage="false" sqref="H8" type="list">
      <formula1>YesNo</formula1>
      <formula2>0</formula2>
    </dataValidation>
    <dataValidation allowBlank="true" errorStyle="stop" operator="between" showDropDown="false" showErrorMessage="false" showInputMessage="false" sqref="H9" type="list">
      <formula1>YesNo</formula1>
      <formula2>0</formula2>
    </dataValidation>
    <dataValidation allowBlank="true" errorStyle="stop" operator="between" showDropDown="false" showErrorMessage="false" showInputMessage="false" sqref="H10" type="list">
      <formula1>YesNo</formula1>
      <formula2>0</formula2>
    </dataValidation>
    <dataValidation allowBlank="true" errorStyle="stop" operator="between" showDropDown="false" showErrorMessage="false" showInputMessage="false" sqref="H11" type="list">
      <formula1>YesNo</formula1>
      <formula2>0</formula2>
    </dataValidation>
    <dataValidation allowBlank="true" errorStyle="stop" operator="between" showDropDown="false" showErrorMessage="false" showInputMessage="false" sqref="H12" type="list">
      <formula1>YesNo</formula1>
      <formula2>0</formula2>
    </dataValidation>
    <dataValidation allowBlank="true" errorStyle="stop" operator="between" showDropDown="false" showErrorMessage="false" showInputMessage="false" sqref="H13" type="list">
      <formula1>YesNo</formula1>
      <formula2>0</formula2>
    </dataValidation>
    <dataValidation allowBlank="true" errorStyle="stop" operator="between" showDropDown="false" showErrorMessage="false" showInputMessage="false" sqref="H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28"/>
    <col collapsed="false" customWidth="true" hidden="false" outlineLevel="0" max="5" min="4" style="0" width="10"/>
    <col collapsed="false" customWidth="true" hidden="false" outlineLevel="0" max="7" min="6" style="0" width="12"/>
    <col collapsed="false" customWidth="true" hidden="false" outlineLevel="0" max="8" min="8" style="0" width="15"/>
    <col collapsed="false" customWidth="true" hidden="false" outlineLevel="0" max="9" min="9" style="0" width="14"/>
    <col collapsed="false" customWidth="true" hidden="false" outlineLevel="0" max="10" min="10" style="0" width="16"/>
    <col collapsed="false" customWidth="true" hidden="false" outlineLevel="0" max="11" min="11" style="0" width="22"/>
  </cols>
  <sheetData>
    <row r="1" customFormat="false" ht="24" hidden="false" customHeight="true" outlineLevel="0" collapsed="false">
      <c r="A1" s="1" t="s">
        <v>118</v>
      </c>
      <c r="B1" s="1"/>
      <c r="C1" s="1"/>
      <c r="D1" s="1"/>
      <c r="E1" s="1"/>
      <c r="F1" s="1"/>
      <c r="G1" s="1"/>
      <c r="H1" s="1"/>
      <c r="I1" s="1"/>
      <c r="J1" s="1"/>
      <c r="K1" s="1"/>
    </row>
    <row r="2" customFormat="false" ht="15.75" hidden="false" customHeight="true" outlineLevel="0" collapsed="false">
      <c r="A2" s="2" t="s">
        <v>119</v>
      </c>
      <c r="B2" s="2"/>
      <c r="C2" s="2"/>
      <c r="D2" s="2"/>
      <c r="E2" s="2"/>
      <c r="F2" s="2"/>
      <c r="G2" s="2"/>
      <c r="H2" s="2"/>
      <c r="I2" s="2"/>
      <c r="J2" s="2"/>
      <c r="K2" s="2"/>
    </row>
    <row r="4" customFormat="false" ht="30" hidden="false" customHeight="true" outlineLevel="0" collapsed="false">
      <c r="A4" s="14" t="s">
        <v>120</v>
      </c>
      <c r="B4" s="14" t="s">
        <v>121</v>
      </c>
      <c r="C4" s="14" t="s">
        <v>84</v>
      </c>
      <c r="D4" s="14" t="s">
        <v>122</v>
      </c>
      <c r="E4" s="14" t="s">
        <v>123</v>
      </c>
      <c r="F4" s="14" t="s">
        <v>124</v>
      </c>
      <c r="G4" s="14" t="s">
        <v>125</v>
      </c>
      <c r="H4" s="14" t="s">
        <v>126</v>
      </c>
      <c r="I4" s="14" t="s">
        <v>92</v>
      </c>
      <c r="J4" s="14" t="s">
        <v>127</v>
      </c>
      <c r="K4" s="14" t="s">
        <v>52</v>
      </c>
    </row>
    <row r="5" customFormat="false" ht="15" hidden="false" customHeight="false" outlineLevel="0" collapsed="false">
      <c r="A5" s="33" t="s">
        <v>128</v>
      </c>
      <c r="B5" s="33" t="s">
        <v>129</v>
      </c>
      <c r="C5" s="33" t="s">
        <v>130</v>
      </c>
      <c r="D5" s="38" t="n">
        <v>420</v>
      </c>
      <c r="E5" s="38" t="n">
        <v>2</v>
      </c>
      <c r="F5" s="36" t="n">
        <v>45</v>
      </c>
      <c r="G5" s="39" t="n">
        <v>0.03</v>
      </c>
      <c r="H5" s="36" t="n">
        <v>1500</v>
      </c>
      <c r="I5" s="37" t="n">
        <f aca="false">D5*E5*F5*(1+G5)+H5</f>
        <v>40434</v>
      </c>
      <c r="J5" s="33" t="s">
        <v>131</v>
      </c>
      <c r="K5" s="33"/>
    </row>
    <row r="6" customFormat="false" ht="15" hidden="false" customHeight="false" outlineLevel="0" collapsed="false">
      <c r="A6" s="33" t="s">
        <v>132</v>
      </c>
      <c r="B6" s="33" t="s">
        <v>133</v>
      </c>
      <c r="C6" s="33" t="s">
        <v>134</v>
      </c>
      <c r="D6" s="38" t="n">
        <v>420</v>
      </c>
      <c r="E6" s="38" t="n">
        <v>2</v>
      </c>
      <c r="F6" s="36" t="n">
        <v>20</v>
      </c>
      <c r="G6" s="39" t="n">
        <v>0.03</v>
      </c>
      <c r="H6" s="36" t="n">
        <v>800</v>
      </c>
      <c r="I6" s="37" t="n">
        <f aca="false">D6*E6*F6*(1+G6)+H6</f>
        <v>18104</v>
      </c>
      <c r="J6" s="33" t="s">
        <v>131</v>
      </c>
      <c r="K6" s="33"/>
    </row>
    <row r="7" customFormat="false" ht="20.85" hidden="false" customHeight="false" outlineLevel="0" collapsed="false">
      <c r="A7" s="33" t="s">
        <v>135</v>
      </c>
      <c r="B7" s="33" t="s">
        <v>136</v>
      </c>
      <c r="C7" s="33" t="s">
        <v>137</v>
      </c>
      <c r="D7" s="38" t="n">
        <v>420</v>
      </c>
      <c r="E7" s="38" t="n">
        <v>2</v>
      </c>
      <c r="F7" s="36" t="n">
        <v>25</v>
      </c>
      <c r="G7" s="39" t="n">
        <v>0.05</v>
      </c>
      <c r="H7" s="36" t="n">
        <v>1000</v>
      </c>
      <c r="I7" s="37" t="n">
        <f aca="false">D7*E7*F7*(1+G7)+H7</f>
        <v>23050</v>
      </c>
      <c r="J7" s="33" t="s">
        <v>131</v>
      </c>
      <c r="K7" s="33"/>
    </row>
    <row r="8" customFormat="false" ht="15" hidden="false" customHeight="false" outlineLevel="0" collapsed="false">
      <c r="A8" s="33" t="s">
        <v>138</v>
      </c>
      <c r="B8" s="33" t="s">
        <v>139</v>
      </c>
      <c r="C8" s="33" t="s">
        <v>140</v>
      </c>
      <c r="D8" s="38" t="n">
        <v>60</v>
      </c>
      <c r="E8" s="38" t="n">
        <v>2</v>
      </c>
      <c r="F8" s="36" t="n">
        <v>60</v>
      </c>
      <c r="G8" s="39" t="n">
        <v>0.03</v>
      </c>
      <c r="H8" s="36" t="n">
        <v>500</v>
      </c>
      <c r="I8" s="37" t="n">
        <f aca="false">D8*E8*F8*(1+G8)+H8</f>
        <v>7916</v>
      </c>
      <c r="J8" s="33" t="s">
        <v>131</v>
      </c>
      <c r="K8" s="33"/>
    </row>
    <row r="9" customFormat="false" ht="15" hidden="false" customHeight="false" outlineLevel="0" collapsed="false">
      <c r="A9" s="33" t="s">
        <v>141</v>
      </c>
      <c r="B9" s="33" t="s">
        <v>142</v>
      </c>
      <c r="C9" s="33" t="s">
        <v>143</v>
      </c>
      <c r="D9" s="38" t="n">
        <v>8</v>
      </c>
      <c r="E9" s="38" t="n">
        <v>2</v>
      </c>
      <c r="F9" s="36" t="n">
        <v>1800</v>
      </c>
      <c r="G9" s="39" t="n">
        <v>0</v>
      </c>
      <c r="H9" s="36" t="n">
        <v>2000</v>
      </c>
      <c r="I9" s="37" t="n">
        <f aca="false">D9*E9*F9*(1+G9)+H9</f>
        <v>30800</v>
      </c>
      <c r="J9" s="33" t="s">
        <v>144</v>
      </c>
      <c r="K9" s="33"/>
    </row>
    <row r="10" customFormat="false" ht="15" hidden="false" customHeight="false" outlineLevel="0" collapsed="false">
      <c r="A10" s="33" t="s">
        <v>145</v>
      </c>
      <c r="B10" s="33" t="s">
        <v>146</v>
      </c>
      <c r="C10" s="33" t="s">
        <v>147</v>
      </c>
      <c r="D10" s="38" t="n">
        <v>20</v>
      </c>
      <c r="E10" s="38" t="n">
        <v>2</v>
      </c>
      <c r="F10" s="36" t="n">
        <v>350</v>
      </c>
      <c r="G10" s="39" t="n">
        <v>0.02</v>
      </c>
      <c r="H10" s="36" t="n">
        <v>800</v>
      </c>
      <c r="I10" s="37" t="n">
        <f aca="false">D10*E10*F10*(1+G10)+H10</f>
        <v>15080</v>
      </c>
      <c r="J10" s="33" t="s">
        <v>131</v>
      </c>
      <c r="K10" s="33"/>
    </row>
    <row r="11" customFormat="false" ht="15" hidden="false" customHeight="false" outlineLevel="0" collapsed="false">
      <c r="A11" s="33" t="s">
        <v>148</v>
      </c>
      <c r="B11" s="33" t="s">
        <v>149</v>
      </c>
      <c r="C11" s="33" t="s">
        <v>150</v>
      </c>
      <c r="D11" s="38" t="n">
        <v>15</v>
      </c>
      <c r="E11" s="38" t="n">
        <v>2</v>
      </c>
      <c r="F11" s="36" t="n">
        <v>250</v>
      </c>
      <c r="G11" s="39" t="n">
        <v>0.02</v>
      </c>
      <c r="H11" s="36" t="n">
        <v>300</v>
      </c>
      <c r="I11" s="37" t="n">
        <f aca="false">D11*E11*F11*(1+G11)+H11</f>
        <v>7950</v>
      </c>
      <c r="J11" s="33" t="s">
        <v>144</v>
      </c>
      <c r="K11" s="33"/>
    </row>
    <row r="12" customFormat="false" ht="20.85" hidden="false" customHeight="false" outlineLevel="0" collapsed="false">
      <c r="A12" s="33" t="s">
        <v>151</v>
      </c>
      <c r="B12" s="33" t="s">
        <v>152</v>
      </c>
      <c r="C12" s="33" t="s">
        <v>153</v>
      </c>
      <c r="D12" s="38" t="n">
        <v>25</v>
      </c>
      <c r="E12" s="38" t="n">
        <v>2</v>
      </c>
      <c r="F12" s="36" t="n">
        <v>150</v>
      </c>
      <c r="G12" s="39" t="n">
        <v>0.02</v>
      </c>
      <c r="H12" s="36" t="n">
        <v>400</v>
      </c>
      <c r="I12" s="37" t="n">
        <f aca="false">D12*E12*F12*(1+G12)+H12</f>
        <v>8050</v>
      </c>
      <c r="J12" s="33" t="s">
        <v>144</v>
      </c>
      <c r="K12" s="33"/>
    </row>
    <row r="13" customFormat="false" ht="15" hidden="false" customHeight="false" outlineLevel="0" collapsed="false">
      <c r="A13" s="33" t="s">
        <v>154</v>
      </c>
      <c r="B13" s="33" t="s">
        <v>155</v>
      </c>
      <c r="C13" s="33" t="s">
        <v>156</v>
      </c>
      <c r="D13" s="38" t="n">
        <v>45</v>
      </c>
      <c r="E13" s="38" t="n">
        <v>2</v>
      </c>
      <c r="F13" s="36" t="n">
        <v>300</v>
      </c>
      <c r="G13" s="39" t="n">
        <v>0</v>
      </c>
      <c r="H13" s="36" t="n">
        <v>1000</v>
      </c>
      <c r="I13" s="37" t="n">
        <f aca="false">D13*E13*F13*(1+G13)+H13</f>
        <v>28000</v>
      </c>
      <c r="J13" s="33" t="s">
        <v>131</v>
      </c>
      <c r="K13" s="33"/>
    </row>
    <row r="14" customFormat="false" ht="15" hidden="false" customHeight="false" outlineLevel="0" collapsed="false">
      <c r="A14" s="33" t="s">
        <v>157</v>
      </c>
      <c r="B14" s="33" t="s">
        <v>158</v>
      </c>
      <c r="C14" s="33" t="s">
        <v>159</v>
      </c>
      <c r="D14" s="38" t="n">
        <v>45</v>
      </c>
      <c r="E14" s="38" t="n">
        <v>2</v>
      </c>
      <c r="F14" s="36" t="n">
        <v>220</v>
      </c>
      <c r="G14" s="39" t="n">
        <v>0.03</v>
      </c>
      <c r="H14" s="36" t="n">
        <v>600</v>
      </c>
      <c r="I14" s="37" t="n">
        <f aca="false">D14*E14*F14*(1+G14)+H14</f>
        <v>20994</v>
      </c>
      <c r="J14" s="33" t="s">
        <v>160</v>
      </c>
      <c r="K14" s="33"/>
    </row>
    <row r="15" customFormat="false" ht="15" hidden="false" customHeight="false" outlineLevel="0" collapsed="false">
      <c r="A15" s="33" t="s">
        <v>161</v>
      </c>
      <c r="B15" s="33" t="s">
        <v>161</v>
      </c>
      <c r="C15" s="33" t="s">
        <v>162</v>
      </c>
      <c r="D15" s="38" t="n">
        <v>8</v>
      </c>
      <c r="E15" s="38" t="n">
        <v>2</v>
      </c>
      <c r="F15" s="36" t="n">
        <v>1000</v>
      </c>
      <c r="G15" s="39" t="n">
        <v>0</v>
      </c>
      <c r="H15" s="36" t="n">
        <v>0</v>
      </c>
      <c r="I15" s="37" t="n">
        <f aca="false">D15*E15*F15*(1+G15)+H15</f>
        <v>16000</v>
      </c>
      <c r="J15" s="33" t="s">
        <v>163</v>
      </c>
      <c r="K15" s="33"/>
    </row>
    <row r="16" customFormat="false" ht="20.85" hidden="false" customHeight="false" outlineLevel="0" collapsed="false">
      <c r="A16" s="33" t="s">
        <v>164</v>
      </c>
      <c r="B16" s="33" t="s">
        <v>165</v>
      </c>
      <c r="C16" s="33" t="s">
        <v>166</v>
      </c>
      <c r="D16" s="38" t="n">
        <v>5</v>
      </c>
      <c r="E16" s="38" t="n">
        <v>2</v>
      </c>
      <c r="F16" s="36" t="n">
        <v>900</v>
      </c>
      <c r="G16" s="39" t="n">
        <v>0</v>
      </c>
      <c r="H16" s="36" t="n">
        <v>0</v>
      </c>
      <c r="I16" s="37" t="n">
        <f aca="false">D16*E16*F16*(1+G16)+H16</f>
        <v>9000</v>
      </c>
      <c r="J16" s="33" t="s">
        <v>163</v>
      </c>
      <c r="K16" s="33"/>
    </row>
    <row r="17" customFormat="false" ht="15" hidden="false" customHeight="false" outlineLevel="0" collapsed="false">
      <c r="A17" s="24"/>
      <c r="B17" s="24"/>
      <c r="C17" s="24"/>
      <c r="D17" s="24"/>
      <c r="E17" s="24"/>
      <c r="F17" s="24"/>
      <c r="G17" s="24"/>
      <c r="H17" s="24"/>
      <c r="I17" s="25" t="n">
        <f aca="false">SUM(I5:I16)</f>
        <v>225378</v>
      </c>
      <c r="J17" s="24"/>
      <c r="K17" s="24"/>
    </row>
  </sheetData>
  <sheetProtection sheet="true" formatCells="false" formatColumns="false" formatRows="false" insertColumns="false" insertRows="false" deleteColumns="false" deleteRows="false" sort="false" autoFilter="false"/>
  <mergeCells count="3">
    <mergeCell ref="A1:K1"/>
    <mergeCell ref="A2:K2"/>
    <mergeCell ref="A17:C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5"/>
    <col collapsed="false" customWidth="true" hidden="false" outlineLevel="0" max="4" min="4" style="0" width="20"/>
    <col collapsed="false" customWidth="true" hidden="false" outlineLevel="0" max="5" min="5" style="0" width="8"/>
    <col collapsed="false" customWidth="true" hidden="false" outlineLevel="0" max="6" min="6" style="0" width="12"/>
    <col collapsed="false" customWidth="true" hidden="false" outlineLevel="0" max="7" min="7" style="0" width="11"/>
    <col collapsed="false" customWidth="true" hidden="false" outlineLevel="0" max="8" min="8" style="0" width="14"/>
    <col collapsed="false" customWidth="true" hidden="false" outlineLevel="0" max="9" min="9" style="0" width="12"/>
    <col collapsed="false" customWidth="true" hidden="false" outlineLevel="0" max="10" min="10" style="0" width="10"/>
    <col collapsed="false" customWidth="true" hidden="false" outlineLevel="0" max="11" min="11" style="0" width="15"/>
    <col collapsed="false" customWidth="true" hidden="false" outlineLevel="0" max="12" min="12" style="0" width="20"/>
  </cols>
  <sheetData>
    <row r="1" customFormat="false" ht="24" hidden="false" customHeight="true" outlineLevel="0" collapsed="false">
      <c r="A1" s="1" t="s">
        <v>167</v>
      </c>
      <c r="B1" s="1"/>
      <c r="C1" s="1"/>
      <c r="D1" s="1"/>
      <c r="E1" s="1"/>
      <c r="F1" s="1"/>
      <c r="G1" s="1"/>
      <c r="H1" s="1"/>
      <c r="I1" s="1"/>
      <c r="J1" s="1"/>
      <c r="K1" s="1"/>
      <c r="L1" s="1"/>
    </row>
    <row r="2" customFormat="false" ht="15.75" hidden="false" customHeight="true" outlineLevel="0" collapsed="false">
      <c r="A2" s="2" t="s">
        <v>168</v>
      </c>
      <c r="B2" s="2"/>
      <c r="C2" s="2"/>
      <c r="D2" s="2"/>
      <c r="E2" s="2"/>
      <c r="F2" s="2"/>
      <c r="G2" s="2"/>
      <c r="H2" s="2"/>
      <c r="I2" s="2"/>
      <c r="J2" s="2"/>
      <c r="K2" s="2"/>
      <c r="L2" s="2"/>
    </row>
    <row r="4" customFormat="false" ht="30" hidden="false" customHeight="true" outlineLevel="0" collapsed="false">
      <c r="A4" s="14" t="s">
        <v>169</v>
      </c>
      <c r="B4" s="14" t="s">
        <v>170</v>
      </c>
      <c r="C4" s="14" t="s">
        <v>171</v>
      </c>
      <c r="D4" s="14" t="s">
        <v>172</v>
      </c>
      <c r="E4" s="14" t="s">
        <v>173</v>
      </c>
      <c r="F4" s="14" t="s">
        <v>174</v>
      </c>
      <c r="G4" s="14" t="s">
        <v>17</v>
      </c>
      <c r="H4" s="14" t="s">
        <v>175</v>
      </c>
      <c r="I4" s="14" t="s">
        <v>176</v>
      </c>
      <c r="J4" s="14" t="s">
        <v>177</v>
      </c>
      <c r="K4" s="14" t="s">
        <v>178</v>
      </c>
      <c r="L4" s="14" t="s">
        <v>52</v>
      </c>
    </row>
    <row r="5" customFormat="false" ht="15" hidden="false" customHeight="false" outlineLevel="0" collapsed="false">
      <c r="A5" s="33" t="s">
        <v>179</v>
      </c>
      <c r="B5" s="33" t="s">
        <v>180</v>
      </c>
      <c r="C5" s="33" t="s">
        <v>181</v>
      </c>
      <c r="D5" s="33" t="s">
        <v>182</v>
      </c>
      <c r="E5" s="33" t="s">
        <v>183</v>
      </c>
      <c r="F5" s="38" t="n">
        <v>0.08</v>
      </c>
      <c r="G5" s="40" t="n">
        <f aca="false">CostingPax</f>
        <v>432</v>
      </c>
      <c r="H5" s="41" t="n">
        <f aca="false">F5*G5</f>
        <v>34.56</v>
      </c>
      <c r="I5" s="36" t="n">
        <v>380</v>
      </c>
      <c r="J5" s="39" t="n">
        <v>0.05</v>
      </c>
      <c r="K5" s="37" t="n">
        <f aca="false">H5*I5*(1+J5)</f>
        <v>13789.44</v>
      </c>
      <c r="L5" s="33"/>
    </row>
    <row r="6" customFormat="false" ht="15" hidden="false" customHeight="false" outlineLevel="0" collapsed="false">
      <c r="A6" s="33" t="s">
        <v>179</v>
      </c>
      <c r="B6" s="33" t="s">
        <v>180</v>
      </c>
      <c r="C6" s="33" t="s">
        <v>184</v>
      </c>
      <c r="D6" s="33" t="s">
        <v>185</v>
      </c>
      <c r="E6" s="33" t="s">
        <v>183</v>
      </c>
      <c r="F6" s="38" t="n">
        <v>0.005</v>
      </c>
      <c r="G6" s="40" t="n">
        <f aca="false">CostingPax</f>
        <v>432</v>
      </c>
      <c r="H6" s="41" t="n">
        <f aca="false">F6*G6</f>
        <v>2.16</v>
      </c>
      <c r="I6" s="36" t="n">
        <v>900</v>
      </c>
      <c r="J6" s="39" t="n">
        <v>0.05</v>
      </c>
      <c r="K6" s="37" t="n">
        <f aca="false">H6*I6*(1+J6)</f>
        <v>2041.2</v>
      </c>
      <c r="L6" s="33"/>
    </row>
    <row r="7" customFormat="false" ht="15" hidden="false" customHeight="false" outlineLevel="0" collapsed="false">
      <c r="A7" s="33" t="s">
        <v>179</v>
      </c>
      <c r="B7" s="33" t="s">
        <v>180</v>
      </c>
      <c r="C7" s="33" t="s">
        <v>186</v>
      </c>
      <c r="D7" s="33" t="s">
        <v>187</v>
      </c>
      <c r="E7" s="33" t="s">
        <v>183</v>
      </c>
      <c r="F7" s="38" t="n">
        <v>0.03</v>
      </c>
      <c r="G7" s="40" t="n">
        <f aca="false">CostingPax</f>
        <v>432</v>
      </c>
      <c r="H7" s="41" t="n">
        <f aca="false">F7*G7</f>
        <v>12.96</v>
      </c>
      <c r="I7" s="36" t="n">
        <v>60</v>
      </c>
      <c r="J7" s="39" t="n">
        <v>0.08</v>
      </c>
      <c r="K7" s="37" t="n">
        <f aca="false">H7*I7*(1+J7)</f>
        <v>839.808</v>
      </c>
      <c r="L7" s="33"/>
    </row>
    <row r="8" customFormat="false" ht="15" hidden="false" customHeight="false" outlineLevel="0" collapsed="false">
      <c r="A8" s="33" t="s">
        <v>188</v>
      </c>
      <c r="B8" s="33" t="s">
        <v>189</v>
      </c>
      <c r="C8" s="33" t="s">
        <v>190</v>
      </c>
      <c r="D8" s="33" t="s">
        <v>191</v>
      </c>
      <c r="E8" s="33" t="s">
        <v>183</v>
      </c>
      <c r="F8" s="38" t="n">
        <v>0.05</v>
      </c>
      <c r="G8" s="40" t="n">
        <f aca="false">CostingPax</f>
        <v>432</v>
      </c>
      <c r="H8" s="41" t="n">
        <f aca="false">F8*G8</f>
        <v>21.6</v>
      </c>
      <c r="I8" s="36" t="n">
        <v>180</v>
      </c>
      <c r="J8" s="39" t="n">
        <v>0.03</v>
      </c>
      <c r="K8" s="37" t="n">
        <f aca="false">H8*I8*(1+J8)</f>
        <v>4004.64</v>
      </c>
      <c r="L8" s="33"/>
    </row>
    <row r="9" customFormat="false" ht="15" hidden="false" customHeight="false" outlineLevel="0" collapsed="false">
      <c r="A9" s="33" t="s">
        <v>188</v>
      </c>
      <c r="B9" s="33" t="s">
        <v>189</v>
      </c>
      <c r="C9" s="33" t="s">
        <v>181</v>
      </c>
      <c r="D9" s="33" t="s">
        <v>192</v>
      </c>
      <c r="E9" s="33" t="s">
        <v>183</v>
      </c>
      <c r="F9" s="38" t="n">
        <v>0.02</v>
      </c>
      <c r="G9" s="40" t="n">
        <f aca="false">CostingPax</f>
        <v>432</v>
      </c>
      <c r="H9" s="41" t="n">
        <f aca="false">F9*G9</f>
        <v>8.64</v>
      </c>
      <c r="I9" s="36" t="n">
        <v>450</v>
      </c>
      <c r="J9" s="39" t="n">
        <v>0.03</v>
      </c>
      <c r="K9" s="37" t="n">
        <f aca="false">H9*I9*(1+J9)</f>
        <v>4004.64</v>
      </c>
      <c r="L9" s="33"/>
    </row>
    <row r="10" customFormat="false" ht="15" hidden="false" customHeight="false" outlineLevel="0" collapsed="false">
      <c r="A10" s="33" t="s">
        <v>188</v>
      </c>
      <c r="B10" s="33" t="s">
        <v>189</v>
      </c>
      <c r="C10" s="33" t="s">
        <v>184</v>
      </c>
      <c r="D10" s="33" t="s">
        <v>193</v>
      </c>
      <c r="E10" s="33" t="s">
        <v>183</v>
      </c>
      <c r="F10" s="38" t="n">
        <v>0.004</v>
      </c>
      <c r="G10" s="40" t="n">
        <f aca="false">CostingPax</f>
        <v>432</v>
      </c>
      <c r="H10" s="41" t="n">
        <f aca="false">F10*G10</f>
        <v>1.728</v>
      </c>
      <c r="I10" s="36" t="n">
        <v>700</v>
      </c>
      <c r="J10" s="39" t="n">
        <v>0.05</v>
      </c>
      <c r="K10" s="37" t="n">
        <f aca="false">H10*I10*(1+J10)</f>
        <v>1270.08</v>
      </c>
      <c r="L10" s="33"/>
    </row>
    <row r="11" customFormat="false" ht="15" hidden="false" customHeight="false" outlineLevel="0" collapsed="false">
      <c r="A11" s="33" t="s">
        <v>194</v>
      </c>
      <c r="B11" s="33" t="s">
        <v>195</v>
      </c>
      <c r="C11" s="33" t="s">
        <v>196</v>
      </c>
      <c r="D11" s="33" t="s">
        <v>197</v>
      </c>
      <c r="E11" s="33" t="s">
        <v>183</v>
      </c>
      <c r="F11" s="38" t="n">
        <v>0.07</v>
      </c>
      <c r="G11" s="40" t="n">
        <f aca="false">CostingPax</f>
        <v>432</v>
      </c>
      <c r="H11" s="41" t="n">
        <f aca="false">F11*G11</f>
        <v>30.24</v>
      </c>
      <c r="I11" s="36" t="n">
        <v>45</v>
      </c>
      <c r="J11" s="39" t="n">
        <v>0.03</v>
      </c>
      <c r="K11" s="37" t="n">
        <f aca="false">H11*I11*(1+J11)</f>
        <v>1401.624</v>
      </c>
      <c r="L11" s="33"/>
    </row>
    <row r="12" customFormat="false" ht="15" hidden="false" customHeight="false" outlineLevel="0" collapsed="false">
      <c r="A12" s="33" t="s">
        <v>194</v>
      </c>
      <c r="B12" s="33" t="s">
        <v>195</v>
      </c>
      <c r="C12" s="33" t="s">
        <v>181</v>
      </c>
      <c r="D12" s="33" t="s">
        <v>198</v>
      </c>
      <c r="E12" s="33" t="s">
        <v>183</v>
      </c>
      <c r="F12" s="38" t="n">
        <v>0.01</v>
      </c>
      <c r="G12" s="40" t="n">
        <f aca="false">CostingPax</f>
        <v>432</v>
      </c>
      <c r="H12" s="41" t="n">
        <f aca="false">F12*G12</f>
        <v>4.32</v>
      </c>
      <c r="I12" s="36" t="n">
        <v>480</v>
      </c>
      <c r="J12" s="39" t="n">
        <v>0.03</v>
      </c>
      <c r="K12" s="37" t="n">
        <f aca="false">H12*I12*(1+J12)</f>
        <v>2135.808</v>
      </c>
      <c r="L12" s="33"/>
    </row>
    <row r="13" customFormat="false" ht="15" hidden="false" customHeight="false" outlineLevel="0" collapsed="false">
      <c r="A13" s="33" t="s">
        <v>194</v>
      </c>
      <c r="B13" s="33" t="s">
        <v>195</v>
      </c>
      <c r="C13" s="33" t="s">
        <v>199</v>
      </c>
      <c r="D13" s="33" t="s">
        <v>200</v>
      </c>
      <c r="E13" s="33" t="s">
        <v>201</v>
      </c>
      <c r="F13" s="38" t="n">
        <v>0.01</v>
      </c>
      <c r="G13" s="40" t="n">
        <f aca="false">CostingPax</f>
        <v>432</v>
      </c>
      <c r="H13" s="41" t="n">
        <f aca="false">F13*G13</f>
        <v>4.32</v>
      </c>
      <c r="I13" s="36" t="n">
        <v>200</v>
      </c>
      <c r="J13" s="39" t="n">
        <v>0</v>
      </c>
      <c r="K13" s="37" t="n">
        <f aca="false">H13*I13*(1+J13)</f>
        <v>864</v>
      </c>
      <c r="L13" s="33"/>
    </row>
    <row r="14" customFormat="false" ht="15" hidden="false" customHeight="false" outlineLevel="0" collapsed="false">
      <c r="A14" s="33" t="s">
        <v>202</v>
      </c>
      <c r="B14" s="33" t="s">
        <v>203</v>
      </c>
      <c r="C14" s="33" t="s">
        <v>181</v>
      </c>
      <c r="D14" s="33" t="s">
        <v>204</v>
      </c>
      <c r="E14" s="33" t="s">
        <v>183</v>
      </c>
      <c r="F14" s="38" t="n">
        <v>0.04</v>
      </c>
      <c r="G14" s="40" t="n">
        <f aca="false">CostingPax</f>
        <v>432</v>
      </c>
      <c r="H14" s="41" t="n">
        <f aca="false">F14*G14</f>
        <v>17.28</v>
      </c>
      <c r="I14" s="36" t="n">
        <v>380</v>
      </c>
      <c r="J14" s="39" t="n">
        <v>0.05</v>
      </c>
      <c r="K14" s="37" t="n">
        <f aca="false">H14*I14*(1+J14)</f>
        <v>6894.72</v>
      </c>
      <c r="L14" s="33"/>
    </row>
    <row r="15" customFormat="false" ht="15" hidden="false" customHeight="false" outlineLevel="0" collapsed="false">
      <c r="A15" s="33" t="s">
        <v>202</v>
      </c>
      <c r="B15" s="33" t="s">
        <v>203</v>
      </c>
      <c r="C15" s="33" t="s">
        <v>190</v>
      </c>
      <c r="D15" s="33" t="s">
        <v>205</v>
      </c>
      <c r="E15" s="33" t="s">
        <v>183</v>
      </c>
      <c r="F15" s="38" t="n">
        <v>0.03</v>
      </c>
      <c r="G15" s="40" t="n">
        <f aca="false">CostingPax</f>
        <v>432</v>
      </c>
      <c r="H15" s="41" t="n">
        <f aca="false">F15*G15</f>
        <v>12.96</v>
      </c>
      <c r="I15" s="36" t="n">
        <v>55</v>
      </c>
      <c r="J15" s="39" t="n">
        <v>0.02</v>
      </c>
      <c r="K15" s="37" t="n">
        <f aca="false">H15*I15*(1+J15)</f>
        <v>727.056</v>
      </c>
      <c r="L15" s="33"/>
    </row>
    <row r="16" customFormat="false" ht="15" hidden="false" customHeight="false" outlineLevel="0" collapsed="false">
      <c r="A16" s="33" t="s">
        <v>202</v>
      </c>
      <c r="B16" s="33" t="s">
        <v>203</v>
      </c>
      <c r="C16" s="33" t="s">
        <v>196</v>
      </c>
      <c r="D16" s="33" t="s">
        <v>206</v>
      </c>
      <c r="E16" s="33" t="s">
        <v>183</v>
      </c>
      <c r="F16" s="38" t="n">
        <v>0.01</v>
      </c>
      <c r="G16" s="40" t="n">
        <f aca="false">CostingPax</f>
        <v>432</v>
      </c>
      <c r="H16" s="41" t="n">
        <f aca="false">F16*G16</f>
        <v>4.32</v>
      </c>
      <c r="I16" s="36" t="n">
        <v>45</v>
      </c>
      <c r="J16" s="39" t="n">
        <v>0.02</v>
      </c>
      <c r="K16" s="37" t="n">
        <f aca="false">H16*I16*(1+J16)</f>
        <v>198.288</v>
      </c>
      <c r="L16" s="33"/>
    </row>
    <row r="17" customFormat="false" ht="15" hidden="false" customHeight="false" outlineLevel="0" collapsed="false">
      <c r="A17" s="24"/>
      <c r="B17" s="24"/>
      <c r="C17" s="24"/>
      <c r="D17" s="24"/>
      <c r="E17" s="24"/>
      <c r="F17" s="24"/>
      <c r="G17" s="24"/>
      <c r="H17" s="24"/>
      <c r="I17" s="24"/>
      <c r="J17" s="24"/>
      <c r="K17" s="25" t="n">
        <f aca="false">SUM(K5:K16)</f>
        <v>38171.304</v>
      </c>
      <c r="L17" s="24"/>
    </row>
    <row r="19" customFormat="false" ht="19.5" hidden="false" customHeight="true" outlineLevel="0" collapsed="false">
      <c r="A19" s="3" t="s">
        <v>207</v>
      </c>
      <c r="B19" s="3"/>
      <c r="C19" s="3"/>
      <c r="D19" s="3"/>
      <c r="E19" s="3"/>
      <c r="F19" s="3"/>
      <c r="G19" s="3"/>
      <c r="H19" s="3"/>
      <c r="I19" s="3"/>
      <c r="J19" s="3"/>
      <c r="K19" s="3"/>
      <c r="L19" s="3"/>
    </row>
    <row r="20" customFormat="false" ht="30" hidden="false" customHeight="true" outlineLevel="0" collapsed="false">
      <c r="A20" s="14" t="s">
        <v>170</v>
      </c>
      <c r="B20" s="14" t="s">
        <v>208</v>
      </c>
      <c r="C20" s="14" t="s">
        <v>209</v>
      </c>
    </row>
    <row r="21" customFormat="false" ht="15" hidden="false" customHeight="false" outlineLevel="0" collapsed="false">
      <c r="A21" s="33" t="s">
        <v>180</v>
      </c>
      <c r="B21" s="37" t="n">
        <f aca="false">SUMIF($B$5:$B$16,A21,$K$5:$K$16)</f>
        <v>16670.448</v>
      </c>
      <c r="C21" s="42" t="n">
        <f aca="false">B21/CostingPax</f>
        <v>38.589</v>
      </c>
    </row>
    <row r="22" customFormat="false" ht="15" hidden="false" customHeight="false" outlineLevel="0" collapsed="false">
      <c r="A22" s="33" t="s">
        <v>189</v>
      </c>
      <c r="B22" s="37" t="n">
        <f aca="false">SUMIF($B$5:$B$16,A22,$K$5:$K$16)</f>
        <v>9279.36</v>
      </c>
      <c r="C22" s="42" t="n">
        <f aca="false">B22/CostingPax</f>
        <v>21.48</v>
      </c>
    </row>
    <row r="23" customFormat="false" ht="15" hidden="false" customHeight="false" outlineLevel="0" collapsed="false">
      <c r="A23" s="33" t="s">
        <v>195</v>
      </c>
      <c r="B23" s="37" t="n">
        <f aca="false">SUMIF($B$5:$B$16,A23,$K$5:$K$16)</f>
        <v>4401.432</v>
      </c>
      <c r="C23" s="42" t="n">
        <f aca="false">B23/CostingPax</f>
        <v>10.1885</v>
      </c>
    </row>
    <row r="24" customFormat="false" ht="15" hidden="false" customHeight="false" outlineLevel="0" collapsed="false">
      <c r="A24" s="33" t="s">
        <v>203</v>
      </c>
      <c r="B24" s="37" t="n">
        <f aca="false">SUMIF($B$5:$B$16,A24,$K$5:$K$16)</f>
        <v>7820.064</v>
      </c>
      <c r="C24" s="42" t="n">
        <f aca="false">B24/CostingPax</f>
        <v>18.102</v>
      </c>
    </row>
    <row r="25" customFormat="false" ht="15" hidden="false" customHeight="false" outlineLevel="0" collapsed="false">
      <c r="A25" s="24" t="s">
        <v>210</v>
      </c>
      <c r="B25" s="25" t="n">
        <f aca="false">SUM(B21:B24)</f>
        <v>38171.304</v>
      </c>
      <c r="C25" s="24"/>
    </row>
  </sheetData>
  <sheetProtection sheet="true" formatCells="false" formatColumns="false" formatRows="false" insertColumns="false" insertRows="false" deleteColumns="false" deleteRows="false" sort="false" autoFilter="false"/>
  <mergeCells count="4">
    <mergeCell ref="A1:L1"/>
    <mergeCell ref="A2:L2"/>
    <mergeCell ref="A17:C17"/>
    <mergeCell ref="A19:L19"/>
  </mergeCells>
  <dataValidations count="12">
    <dataValidation allowBlank="true" errorStyle="stop" operator="between" showDropDown="false" showErrorMessage="false" showInputMessage="false" sqref="C5" type="list">
      <formula1>IngredientCategory</formula1>
      <formula2>0</formula2>
    </dataValidation>
    <dataValidation allowBlank="true" errorStyle="stop" operator="between" showDropDown="false" showErrorMessage="false" showInputMessage="false" sqref="C6" type="list">
      <formula1>IngredientCategory</formula1>
      <formula2>0</formula2>
    </dataValidation>
    <dataValidation allowBlank="true" errorStyle="stop" operator="between" showDropDown="false" showErrorMessage="false" showInputMessage="false" sqref="C7" type="list">
      <formula1>IngredientCategory</formula1>
      <formula2>0</formula2>
    </dataValidation>
    <dataValidation allowBlank="true" errorStyle="stop" operator="between" showDropDown="false" showErrorMessage="false" showInputMessage="false" sqref="C8" type="list">
      <formula1>IngredientCategory</formula1>
      <formula2>0</formula2>
    </dataValidation>
    <dataValidation allowBlank="true" errorStyle="stop" operator="between" showDropDown="false" showErrorMessage="false" showInputMessage="false" sqref="C9" type="list">
      <formula1>IngredientCategory</formula1>
      <formula2>0</formula2>
    </dataValidation>
    <dataValidation allowBlank="true" errorStyle="stop" operator="between" showDropDown="false" showErrorMessage="false" showInputMessage="false" sqref="C10" type="list">
      <formula1>IngredientCategory</formula1>
      <formula2>0</formula2>
    </dataValidation>
    <dataValidation allowBlank="true" errorStyle="stop" operator="between" showDropDown="false" showErrorMessage="false" showInputMessage="false" sqref="C11" type="list">
      <formula1>IngredientCategory</formula1>
      <formula2>0</formula2>
    </dataValidation>
    <dataValidation allowBlank="true" errorStyle="stop" operator="between" showDropDown="false" showErrorMessage="false" showInputMessage="false" sqref="C12" type="list">
      <formula1>IngredientCategory</formula1>
      <formula2>0</formula2>
    </dataValidation>
    <dataValidation allowBlank="true" errorStyle="stop" operator="between" showDropDown="false" showErrorMessage="false" showInputMessage="false" sqref="C13" type="list">
      <formula1>IngredientCategory</formula1>
      <formula2>0</formula2>
    </dataValidation>
    <dataValidation allowBlank="true" errorStyle="stop" operator="between" showDropDown="false" showErrorMessage="false" showInputMessage="false" sqref="C14" type="list">
      <formula1>IngredientCategory</formula1>
      <formula2>0</formula2>
    </dataValidation>
    <dataValidation allowBlank="true" errorStyle="stop" operator="between" showDropDown="false" showErrorMessage="false" showInputMessage="false" sqref="C15" type="list">
      <formula1>IngredientCategory</formula1>
      <formula2>0</formula2>
    </dataValidation>
    <dataValidation allowBlank="true" errorStyle="stop" operator="between" showDropDown="false" showErrorMessage="false" showInputMessage="false" sqref="C16" type="list">
      <formula1>IngredientCategory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4" min="3" style="0" width="10"/>
    <col collapsed="false" customWidth="true" hidden="false" outlineLevel="0" max="5" min="5" style="0" width="13"/>
    <col collapsed="false" customWidth="true" hidden="false" outlineLevel="0" max="6" min="6" style="0" width="10"/>
    <col collapsed="false" customWidth="true" hidden="false" outlineLevel="0" max="7" min="7" style="0" width="14"/>
    <col collapsed="false" customWidth="true" hidden="false" outlineLevel="0" max="8" min="8" style="0" width="26"/>
  </cols>
  <sheetData>
    <row r="1" customFormat="false" ht="24" hidden="false" customHeight="true" outlineLevel="0" collapsed="false">
      <c r="A1" s="1" t="s">
        <v>211</v>
      </c>
      <c r="B1" s="1"/>
      <c r="C1" s="1"/>
      <c r="D1" s="1"/>
      <c r="E1" s="1"/>
      <c r="F1" s="1"/>
      <c r="G1" s="1"/>
      <c r="H1" s="1"/>
    </row>
    <row r="2" customFormat="false" ht="15.75" hidden="false" customHeight="true" outlineLevel="0" collapsed="false">
      <c r="A2" s="2" t="s">
        <v>212</v>
      </c>
      <c r="B2" s="2"/>
      <c r="C2" s="2"/>
      <c r="D2" s="2"/>
      <c r="E2" s="2"/>
      <c r="F2" s="2"/>
      <c r="G2" s="2"/>
      <c r="H2" s="2"/>
    </row>
    <row r="4" customFormat="false" ht="30" hidden="false" customHeight="true" outlineLevel="0" collapsed="false">
      <c r="A4" s="14" t="s">
        <v>213</v>
      </c>
      <c r="B4" s="14" t="s">
        <v>214</v>
      </c>
      <c r="C4" s="14" t="s">
        <v>173</v>
      </c>
      <c r="D4" s="14" t="s">
        <v>122</v>
      </c>
      <c r="E4" s="14" t="s">
        <v>176</v>
      </c>
      <c r="F4" s="14" t="s">
        <v>123</v>
      </c>
      <c r="G4" s="14" t="s">
        <v>92</v>
      </c>
      <c r="H4" s="14" t="s">
        <v>52</v>
      </c>
    </row>
    <row r="5" customFormat="false" ht="15" hidden="false" customHeight="false" outlineLevel="0" collapsed="false">
      <c r="A5" s="33" t="s">
        <v>215</v>
      </c>
      <c r="B5" s="33" t="s">
        <v>216</v>
      </c>
      <c r="C5" s="33" t="s">
        <v>183</v>
      </c>
      <c r="D5" s="38" t="n">
        <v>6</v>
      </c>
      <c r="E5" s="36" t="n">
        <v>950</v>
      </c>
      <c r="F5" s="33" t="n">
        <v>2</v>
      </c>
      <c r="G5" s="37" t="n">
        <f aca="false">D5*E5*F5</f>
        <v>11400</v>
      </c>
      <c r="H5" s="33"/>
    </row>
    <row r="6" customFormat="false" ht="15" hidden="false" customHeight="false" outlineLevel="0" collapsed="false">
      <c r="A6" s="33" t="s">
        <v>215</v>
      </c>
      <c r="B6" s="33" t="s">
        <v>217</v>
      </c>
      <c r="C6" s="33" t="s">
        <v>218</v>
      </c>
      <c r="D6" s="38" t="n">
        <v>40</v>
      </c>
      <c r="E6" s="36" t="n">
        <v>62</v>
      </c>
      <c r="F6" s="33" t="n">
        <v>2</v>
      </c>
      <c r="G6" s="37" t="n">
        <f aca="false">D6*E6*F6</f>
        <v>4960</v>
      </c>
      <c r="H6" s="33"/>
    </row>
    <row r="7" customFormat="false" ht="15" hidden="false" customHeight="false" outlineLevel="0" collapsed="false">
      <c r="A7" s="33" t="s">
        <v>215</v>
      </c>
      <c r="B7" s="33" t="s">
        <v>219</v>
      </c>
      <c r="C7" s="33" t="s">
        <v>218</v>
      </c>
      <c r="D7" s="38" t="n">
        <v>8</v>
      </c>
      <c r="E7" s="36" t="n">
        <v>180</v>
      </c>
      <c r="F7" s="33" t="n">
        <v>2</v>
      </c>
      <c r="G7" s="37" t="n">
        <f aca="false">D7*E7*F7</f>
        <v>2880</v>
      </c>
      <c r="H7" s="33"/>
    </row>
    <row r="8" customFormat="false" ht="15" hidden="false" customHeight="false" outlineLevel="0" collapsed="false">
      <c r="A8" s="33" t="s">
        <v>220</v>
      </c>
      <c r="B8" s="33" t="s">
        <v>205</v>
      </c>
      <c r="C8" s="33" t="s">
        <v>183</v>
      </c>
      <c r="D8" s="38" t="n">
        <v>5</v>
      </c>
      <c r="E8" s="36" t="n">
        <v>48</v>
      </c>
      <c r="F8" s="33" t="n">
        <v>2</v>
      </c>
      <c r="G8" s="37" t="n">
        <f aca="false">D8*E8*F8</f>
        <v>480</v>
      </c>
      <c r="H8" s="33"/>
    </row>
    <row r="9" customFormat="false" ht="15" hidden="false" customHeight="false" outlineLevel="0" collapsed="false">
      <c r="A9" s="33" t="s">
        <v>220</v>
      </c>
      <c r="B9" s="33" t="s">
        <v>221</v>
      </c>
      <c r="C9" s="33" t="s">
        <v>222</v>
      </c>
      <c r="D9" s="38" t="n">
        <v>450</v>
      </c>
      <c r="E9" s="36" t="n">
        <v>8</v>
      </c>
      <c r="F9" s="33" t="n">
        <v>2</v>
      </c>
      <c r="G9" s="37" t="n">
        <f aca="false">D9*E9*F9</f>
        <v>7200</v>
      </c>
      <c r="H9" s="33"/>
    </row>
    <row r="10" customFormat="false" ht="15" hidden="false" customHeight="false" outlineLevel="0" collapsed="false">
      <c r="A10" s="33" t="s">
        <v>220</v>
      </c>
      <c r="B10" s="33" t="s">
        <v>223</v>
      </c>
      <c r="C10" s="33" t="s">
        <v>222</v>
      </c>
      <c r="D10" s="38" t="n">
        <v>450</v>
      </c>
      <c r="E10" s="36" t="n">
        <v>1</v>
      </c>
      <c r="F10" s="33" t="n">
        <v>2</v>
      </c>
      <c r="G10" s="37" t="n">
        <f aca="false">D10*E10*F10</f>
        <v>900</v>
      </c>
      <c r="H10" s="33"/>
    </row>
    <row r="11" customFormat="false" ht="15" hidden="false" customHeight="false" outlineLevel="0" collapsed="false">
      <c r="A11" s="33" t="s">
        <v>220</v>
      </c>
      <c r="B11" s="33" t="s">
        <v>224</v>
      </c>
      <c r="C11" s="33" t="s">
        <v>222</v>
      </c>
      <c r="D11" s="38" t="n">
        <v>450</v>
      </c>
      <c r="E11" s="36" t="n">
        <v>2</v>
      </c>
      <c r="F11" s="33" t="n">
        <v>2</v>
      </c>
      <c r="G11" s="37" t="n">
        <f aca="false">D11*E11*F11</f>
        <v>1800</v>
      </c>
      <c r="H11" s="33"/>
    </row>
    <row r="12" customFormat="false" ht="15" hidden="false" customHeight="false" outlineLevel="0" collapsed="false">
      <c r="A12" s="33" t="s">
        <v>225</v>
      </c>
      <c r="B12" s="33" t="s">
        <v>226</v>
      </c>
      <c r="C12" s="33" t="s">
        <v>227</v>
      </c>
      <c r="D12" s="38" t="n">
        <v>2</v>
      </c>
      <c r="E12" s="36" t="n">
        <v>2200</v>
      </c>
      <c r="F12" s="33" t="n">
        <v>2</v>
      </c>
      <c r="G12" s="37" t="n">
        <f aca="false">D12*E12*F12</f>
        <v>8800</v>
      </c>
      <c r="H12" s="33"/>
    </row>
    <row r="13" customFormat="false" ht="15" hidden="false" customHeight="false" outlineLevel="0" collapsed="false">
      <c r="A13" s="33" t="s">
        <v>228</v>
      </c>
      <c r="B13" s="33" t="s">
        <v>229</v>
      </c>
      <c r="C13" s="33" t="s">
        <v>230</v>
      </c>
      <c r="D13" s="38" t="n">
        <v>1</v>
      </c>
      <c r="E13" s="36" t="n">
        <v>3500</v>
      </c>
      <c r="F13" s="33" t="n">
        <v>2</v>
      </c>
      <c r="G13" s="37" t="n">
        <f aca="false">D13*E13*F13</f>
        <v>7000</v>
      </c>
      <c r="H13" s="33"/>
    </row>
    <row r="14" customFormat="false" ht="15" hidden="false" customHeight="false" outlineLevel="0" collapsed="false">
      <c r="A14" s="33" t="s">
        <v>220</v>
      </c>
      <c r="B14" s="33" t="s">
        <v>231</v>
      </c>
      <c r="C14" s="33" t="s">
        <v>232</v>
      </c>
      <c r="D14" s="38" t="n">
        <v>1</v>
      </c>
      <c r="E14" s="36" t="n">
        <v>2500</v>
      </c>
      <c r="F14" s="33" t="n">
        <v>2</v>
      </c>
      <c r="G14" s="37" t="n">
        <f aca="false">D14*E14*F14</f>
        <v>5000</v>
      </c>
      <c r="H14" s="33"/>
    </row>
    <row r="15" customFormat="false" ht="15" hidden="false" customHeight="false" outlineLevel="0" collapsed="false">
      <c r="A15" s="24"/>
      <c r="B15" s="24"/>
      <c r="C15" s="24"/>
      <c r="D15" s="24"/>
      <c r="E15" s="24"/>
      <c r="F15" s="24"/>
      <c r="G15" s="25" t="n">
        <f aca="false">SUM(G5:G14)</f>
        <v>50420</v>
      </c>
      <c r="H15" s="24"/>
    </row>
  </sheetData>
  <sheetProtection sheet="true" formatCells="false" formatColumns="false" formatRows="false" insertColumns="false" insertRows="false" deleteColumns="false" deleteRows="false" sort="false" autoFilter="false"/>
  <mergeCells count="3">
    <mergeCell ref="A1:H1"/>
    <mergeCell ref="A2:H2"/>
    <mergeCell ref="A15:B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4" min="3" style="0" width="10"/>
    <col collapsed="false" customWidth="true" hidden="false" outlineLevel="0" max="5" min="5" style="0" width="13"/>
    <col collapsed="false" customWidth="true" hidden="false" outlineLevel="0" max="6" min="6" style="0" width="10"/>
    <col collapsed="false" customWidth="true" hidden="false" outlineLevel="0" max="7" min="7" style="0" width="14"/>
    <col collapsed="false" customWidth="true" hidden="false" outlineLevel="0" max="8" min="8" style="0" width="26"/>
  </cols>
  <sheetData>
    <row r="1" customFormat="false" ht="24" hidden="false" customHeight="true" outlineLevel="0" collapsed="false">
      <c r="A1" s="1" t="s">
        <v>233</v>
      </c>
      <c r="B1" s="1"/>
      <c r="C1" s="1"/>
      <c r="D1" s="1"/>
      <c r="E1" s="1"/>
      <c r="F1" s="1"/>
      <c r="G1" s="1"/>
      <c r="H1" s="1"/>
    </row>
    <row r="2" customFormat="false" ht="15.75" hidden="false" customHeight="true" outlineLevel="0" collapsed="false">
      <c r="A2" s="2" t="s">
        <v>234</v>
      </c>
      <c r="B2" s="2"/>
      <c r="C2" s="2"/>
      <c r="D2" s="2"/>
      <c r="E2" s="2"/>
      <c r="F2" s="2"/>
      <c r="G2" s="2"/>
      <c r="H2" s="2"/>
    </row>
    <row r="4" customFormat="false" ht="30" hidden="false" customHeight="true" outlineLevel="0" collapsed="false">
      <c r="A4" s="14" t="s">
        <v>235</v>
      </c>
      <c r="B4" s="14" t="s">
        <v>214</v>
      </c>
      <c r="C4" s="14" t="s">
        <v>173</v>
      </c>
      <c r="D4" s="14" t="s">
        <v>122</v>
      </c>
      <c r="E4" s="14" t="s">
        <v>176</v>
      </c>
      <c r="F4" s="14" t="s">
        <v>123</v>
      </c>
      <c r="G4" s="14" t="s">
        <v>92</v>
      </c>
      <c r="H4" s="14" t="s">
        <v>52</v>
      </c>
    </row>
    <row r="5" customFormat="false" ht="15" hidden="false" customHeight="false" outlineLevel="0" collapsed="false">
      <c r="A5" s="33" t="s">
        <v>236</v>
      </c>
      <c r="B5" s="33" t="s">
        <v>237</v>
      </c>
      <c r="C5" s="33" t="s">
        <v>218</v>
      </c>
      <c r="D5" s="38" t="n">
        <v>25</v>
      </c>
      <c r="E5" s="36" t="n">
        <v>90</v>
      </c>
      <c r="F5" s="33" t="n">
        <v>2</v>
      </c>
      <c r="G5" s="37" t="n">
        <f aca="false">D5*E5*F5</f>
        <v>4500</v>
      </c>
      <c r="H5" s="33"/>
    </row>
    <row r="6" customFormat="false" ht="15" hidden="false" customHeight="false" outlineLevel="0" collapsed="false">
      <c r="A6" s="33" t="s">
        <v>238</v>
      </c>
      <c r="B6" s="33" t="s">
        <v>239</v>
      </c>
      <c r="C6" s="33" t="s">
        <v>218</v>
      </c>
      <c r="D6" s="38" t="n">
        <v>30</v>
      </c>
      <c r="E6" s="36" t="n">
        <v>140</v>
      </c>
      <c r="F6" s="33" t="n">
        <v>2</v>
      </c>
      <c r="G6" s="37" t="n">
        <f aca="false">D6*E6*F6</f>
        <v>8400</v>
      </c>
      <c r="H6" s="33"/>
    </row>
    <row r="7" customFormat="false" ht="15" hidden="false" customHeight="false" outlineLevel="0" collapsed="false">
      <c r="A7" s="33" t="s">
        <v>240</v>
      </c>
      <c r="B7" s="33" t="s">
        <v>241</v>
      </c>
      <c r="C7" s="33" t="s">
        <v>218</v>
      </c>
      <c r="D7" s="38" t="n">
        <v>6</v>
      </c>
      <c r="E7" s="36" t="n">
        <v>450</v>
      </c>
      <c r="F7" s="33" t="n">
        <v>2</v>
      </c>
      <c r="G7" s="37" t="n">
        <f aca="false">D7*E7*F7</f>
        <v>5400</v>
      </c>
      <c r="H7" s="33"/>
    </row>
    <row r="8" customFormat="false" ht="15" hidden="false" customHeight="false" outlineLevel="0" collapsed="false">
      <c r="A8" s="33" t="s">
        <v>242</v>
      </c>
      <c r="B8" s="33" t="s">
        <v>243</v>
      </c>
      <c r="C8" s="33" t="s">
        <v>183</v>
      </c>
      <c r="D8" s="38" t="n">
        <v>4</v>
      </c>
      <c r="E8" s="36" t="n">
        <v>200</v>
      </c>
      <c r="F8" s="33" t="n">
        <v>2</v>
      </c>
      <c r="G8" s="37" t="n">
        <f aca="false">D8*E8*F8</f>
        <v>1600</v>
      </c>
      <c r="H8" s="33"/>
    </row>
    <row r="9" customFormat="false" ht="15" hidden="false" customHeight="false" outlineLevel="0" collapsed="false">
      <c r="A9" s="33" t="s">
        <v>244</v>
      </c>
      <c r="B9" s="33" t="s">
        <v>245</v>
      </c>
      <c r="C9" s="33" t="s">
        <v>183</v>
      </c>
      <c r="D9" s="38" t="n">
        <v>3</v>
      </c>
      <c r="E9" s="36" t="n">
        <v>180</v>
      </c>
      <c r="F9" s="33" t="n">
        <v>2</v>
      </c>
      <c r="G9" s="37" t="n">
        <f aca="false">D9*E9*F9</f>
        <v>1080</v>
      </c>
      <c r="H9" s="33"/>
    </row>
    <row r="10" customFormat="false" ht="15" hidden="false" customHeight="false" outlineLevel="0" collapsed="false">
      <c r="A10" s="33" t="s">
        <v>246</v>
      </c>
      <c r="B10" s="33" t="s">
        <v>247</v>
      </c>
      <c r="C10" s="33" t="s">
        <v>183</v>
      </c>
      <c r="D10" s="38" t="n">
        <v>15</v>
      </c>
      <c r="E10" s="36" t="n">
        <v>120</v>
      </c>
      <c r="F10" s="33" t="n">
        <v>2</v>
      </c>
      <c r="G10" s="37" t="n">
        <f aca="false">D10*E10*F10</f>
        <v>3600</v>
      </c>
      <c r="H10" s="33"/>
    </row>
    <row r="11" customFormat="false" ht="15" hidden="false" customHeight="false" outlineLevel="0" collapsed="false">
      <c r="A11" s="33" t="s">
        <v>248</v>
      </c>
      <c r="B11" s="33" t="s">
        <v>248</v>
      </c>
      <c r="C11" s="33" t="s">
        <v>183</v>
      </c>
      <c r="D11" s="38" t="n">
        <v>120</v>
      </c>
      <c r="E11" s="36" t="n">
        <v>15</v>
      </c>
      <c r="F11" s="33" t="n">
        <v>2</v>
      </c>
      <c r="G11" s="37" t="n">
        <f aca="false">D11*E11*F11</f>
        <v>3600</v>
      </c>
      <c r="H11" s="33"/>
    </row>
    <row r="12" customFormat="false" ht="15" hidden="false" customHeight="false" outlineLevel="0" collapsed="false">
      <c r="A12" s="33" t="s">
        <v>135</v>
      </c>
      <c r="B12" s="33" t="s">
        <v>249</v>
      </c>
      <c r="C12" s="33" t="s">
        <v>222</v>
      </c>
      <c r="D12" s="38" t="n">
        <v>250</v>
      </c>
      <c r="E12" s="36" t="n">
        <v>20</v>
      </c>
      <c r="F12" s="33" t="n">
        <v>2</v>
      </c>
      <c r="G12" s="37" t="n">
        <f aca="false">D12*E12*F12</f>
        <v>10000</v>
      </c>
      <c r="H12" s="33"/>
    </row>
    <row r="13" customFormat="false" ht="15" hidden="false" customHeight="false" outlineLevel="0" collapsed="false">
      <c r="A13" s="33" t="s">
        <v>250</v>
      </c>
      <c r="B13" s="33" t="s">
        <v>251</v>
      </c>
      <c r="C13" s="33" t="s">
        <v>232</v>
      </c>
      <c r="D13" s="38" t="n">
        <v>1</v>
      </c>
      <c r="E13" s="36" t="n">
        <v>3500</v>
      </c>
      <c r="F13" s="33" t="n">
        <v>2</v>
      </c>
      <c r="G13" s="37" t="n">
        <f aca="false">D13*E13*F13</f>
        <v>7000</v>
      </c>
      <c r="H13" s="33"/>
    </row>
    <row r="14" customFormat="false" ht="15" hidden="false" customHeight="false" outlineLevel="0" collapsed="false">
      <c r="A14" s="33" t="s">
        <v>252</v>
      </c>
      <c r="B14" s="33" t="s">
        <v>252</v>
      </c>
      <c r="C14" s="33" t="s">
        <v>227</v>
      </c>
      <c r="D14" s="38" t="n">
        <v>4</v>
      </c>
      <c r="E14" s="36" t="n">
        <v>2200</v>
      </c>
      <c r="F14" s="33" t="n">
        <v>2</v>
      </c>
      <c r="G14" s="37" t="n">
        <f aca="false">D14*E14*F14</f>
        <v>17600</v>
      </c>
      <c r="H14" s="33"/>
    </row>
    <row r="15" customFormat="false" ht="15" hidden="false" customHeight="false" outlineLevel="0" collapsed="false">
      <c r="A15" s="33" t="s">
        <v>253</v>
      </c>
      <c r="B15" s="33" t="s">
        <v>253</v>
      </c>
      <c r="C15" s="33" t="s">
        <v>232</v>
      </c>
      <c r="D15" s="38" t="n">
        <v>1</v>
      </c>
      <c r="E15" s="36" t="n">
        <v>2500</v>
      </c>
      <c r="F15" s="33" t="n">
        <v>2</v>
      </c>
      <c r="G15" s="37" t="n">
        <f aca="false">D15*E15*F15</f>
        <v>5000</v>
      </c>
      <c r="H15" s="33"/>
    </row>
    <row r="16" customFormat="false" ht="15" hidden="false" customHeight="false" outlineLevel="0" collapsed="false">
      <c r="A16" s="33" t="s">
        <v>254</v>
      </c>
      <c r="B16" s="33" t="s">
        <v>255</v>
      </c>
      <c r="C16" s="33" t="s">
        <v>222</v>
      </c>
      <c r="D16" s="38" t="n">
        <v>500</v>
      </c>
      <c r="E16" s="36" t="n">
        <v>6</v>
      </c>
      <c r="F16" s="33" t="n">
        <v>2</v>
      </c>
      <c r="G16" s="37" t="n">
        <f aca="false">D16*E16*F16</f>
        <v>6000</v>
      </c>
      <c r="H16" s="33"/>
    </row>
    <row r="17" customFormat="false" ht="15" hidden="false" customHeight="false" outlineLevel="0" collapsed="false">
      <c r="A17" s="33" t="s">
        <v>199</v>
      </c>
      <c r="B17" s="33" t="s">
        <v>256</v>
      </c>
      <c r="C17" s="33" t="s">
        <v>232</v>
      </c>
      <c r="D17" s="38" t="n">
        <v>1</v>
      </c>
      <c r="E17" s="36" t="n">
        <v>1500</v>
      </c>
      <c r="F17" s="33" t="n">
        <v>2</v>
      </c>
      <c r="G17" s="37" t="n">
        <f aca="false">D17*E17*F17</f>
        <v>3000</v>
      </c>
      <c r="H17" s="33"/>
    </row>
    <row r="18" customFormat="false" ht="15" hidden="false" customHeight="false" outlineLevel="0" collapsed="false">
      <c r="A18" s="24"/>
      <c r="B18" s="24"/>
      <c r="C18" s="24"/>
      <c r="D18" s="24"/>
      <c r="E18" s="24"/>
      <c r="F18" s="24"/>
      <c r="G18" s="25" t="n">
        <f aca="false">SUM(G5:G17)</f>
        <v>76780</v>
      </c>
      <c r="H18" s="24"/>
    </row>
    <row r="20" customFormat="false" ht="19.4" hidden="false" customHeight="true" outlineLevel="0" collapsed="false">
      <c r="A20" s="43" t="s">
        <v>257</v>
      </c>
      <c r="B20" s="43"/>
      <c r="C20" s="43"/>
      <c r="D20" s="43"/>
      <c r="E20" s="43"/>
      <c r="F20" s="43"/>
      <c r="G20" s="43"/>
      <c r="H20" s="43"/>
    </row>
  </sheetData>
  <sheetProtection sheet="true" formatCells="false" formatColumns="false" formatRows="false" insertColumns="false" insertRows="false" deleteColumns="false" deleteRows="false" sort="false" autoFilter="false"/>
  <mergeCells count="4">
    <mergeCell ref="A1:H1"/>
    <mergeCell ref="A2:H2"/>
    <mergeCell ref="A18:B18"/>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10"/>
    <col collapsed="false" customWidth="true" hidden="false" outlineLevel="0" max="4" min="4" style="0" width="13"/>
    <col collapsed="false" customWidth="true" hidden="false" outlineLevel="0" max="5" min="5" style="0" width="14"/>
    <col collapsed="false" customWidth="true" hidden="false" outlineLevel="0" max="6" min="6" style="0" width="12"/>
    <col collapsed="false" customWidth="true" hidden="false" outlineLevel="0" max="7" min="7" style="0" width="26"/>
  </cols>
  <sheetData>
    <row r="1" customFormat="false" ht="24" hidden="false" customHeight="true" outlineLevel="0" collapsed="false">
      <c r="A1" s="1" t="s">
        <v>258</v>
      </c>
      <c r="B1" s="1"/>
      <c r="C1" s="1"/>
      <c r="D1" s="1"/>
      <c r="E1" s="1"/>
      <c r="F1" s="1"/>
      <c r="G1" s="1"/>
    </row>
    <row r="2" customFormat="false" ht="15.75" hidden="false" customHeight="true" outlineLevel="0" collapsed="false">
      <c r="A2" s="2" t="s">
        <v>259</v>
      </c>
      <c r="B2" s="2"/>
      <c r="C2" s="2"/>
      <c r="D2" s="2"/>
      <c r="E2" s="2"/>
      <c r="F2" s="2"/>
      <c r="G2" s="2"/>
    </row>
    <row r="4" customFormat="false" ht="30" hidden="false" customHeight="true" outlineLevel="0" collapsed="false">
      <c r="A4" s="14" t="s">
        <v>260</v>
      </c>
      <c r="B4" s="14" t="s">
        <v>261</v>
      </c>
      <c r="C4" s="14" t="s">
        <v>122</v>
      </c>
      <c r="D4" s="14" t="s">
        <v>124</v>
      </c>
      <c r="E4" s="14" t="s">
        <v>92</v>
      </c>
      <c r="F4" s="14" t="s">
        <v>262</v>
      </c>
      <c r="G4" s="14" t="s">
        <v>52</v>
      </c>
    </row>
    <row r="5" customFormat="false" ht="15" hidden="false" customHeight="false" outlineLevel="0" collapsed="false">
      <c r="A5" s="33" t="s">
        <v>263</v>
      </c>
      <c r="B5" s="33" t="s">
        <v>264</v>
      </c>
      <c r="C5" s="38" t="n">
        <v>1</v>
      </c>
      <c r="D5" s="36" t="n">
        <v>4500</v>
      </c>
      <c r="E5" s="37" t="n">
        <f aca="false">IF(F5="No",0,C5*D5)</f>
        <v>4500</v>
      </c>
      <c r="F5" s="33" t="s">
        <v>101</v>
      </c>
      <c r="G5" s="33"/>
    </row>
    <row r="6" customFormat="false" ht="15" hidden="false" customHeight="false" outlineLevel="0" collapsed="false">
      <c r="A6" s="33" t="s">
        <v>265</v>
      </c>
      <c r="B6" s="33" t="s">
        <v>266</v>
      </c>
      <c r="C6" s="38" t="n">
        <v>420</v>
      </c>
      <c r="D6" s="36" t="n">
        <v>45</v>
      </c>
      <c r="E6" s="37" t="n">
        <f aca="false">IF(F6="No",0,C6*D6)</f>
        <v>18900</v>
      </c>
      <c r="F6" s="33" t="s">
        <v>101</v>
      </c>
      <c r="G6" s="33"/>
    </row>
    <row r="7" customFormat="false" ht="15" hidden="false" customHeight="false" outlineLevel="0" collapsed="false">
      <c r="A7" s="33" t="s">
        <v>267</v>
      </c>
      <c r="B7" s="33" t="s">
        <v>268</v>
      </c>
      <c r="C7" s="38" t="n">
        <v>1</v>
      </c>
      <c r="D7" s="36" t="n">
        <v>6000</v>
      </c>
      <c r="E7" s="37" t="n">
        <f aca="false">IF(F7="No",0,C7*D7)</f>
        <v>6000</v>
      </c>
      <c r="F7" s="33" t="s">
        <v>101</v>
      </c>
      <c r="G7" s="33"/>
    </row>
    <row r="8" customFormat="false" ht="15" hidden="false" customHeight="false" outlineLevel="0" collapsed="false">
      <c r="A8" s="33" t="s">
        <v>269</v>
      </c>
      <c r="B8" s="33" t="s">
        <v>270</v>
      </c>
      <c r="C8" s="38" t="n">
        <v>1</v>
      </c>
      <c r="D8" s="36" t="n">
        <v>2500</v>
      </c>
      <c r="E8" s="37" t="n">
        <f aca="false">IF(F8="No",0,C8*D8)</f>
        <v>2500</v>
      </c>
      <c r="F8" s="33" t="s">
        <v>101</v>
      </c>
      <c r="G8" s="33"/>
    </row>
    <row r="9" customFormat="false" ht="15" hidden="false" customHeight="false" outlineLevel="0" collapsed="false">
      <c r="A9" s="33" t="s">
        <v>271</v>
      </c>
      <c r="B9" s="33" t="s">
        <v>272</v>
      </c>
      <c r="C9" s="38" t="n">
        <v>25</v>
      </c>
      <c r="D9" s="36" t="n">
        <v>180</v>
      </c>
      <c r="E9" s="37" t="n">
        <f aca="false">IF(F9="No",0,C9*D9)</f>
        <v>4500</v>
      </c>
      <c r="F9" s="33" t="s">
        <v>101</v>
      </c>
      <c r="G9" s="33"/>
    </row>
    <row r="10" customFormat="false" ht="15" hidden="false" customHeight="false" outlineLevel="0" collapsed="false">
      <c r="A10" s="33" t="s">
        <v>273</v>
      </c>
      <c r="B10" s="33" t="s">
        <v>274</v>
      </c>
      <c r="C10" s="38" t="n">
        <v>1</v>
      </c>
      <c r="D10" s="36" t="n">
        <v>3000</v>
      </c>
      <c r="E10" s="37" t="n">
        <f aca="false">IF(F10="No",0,C10*D10)</f>
        <v>3000</v>
      </c>
      <c r="F10" s="33" t="s">
        <v>101</v>
      </c>
      <c r="G10" s="33"/>
    </row>
    <row r="11" customFormat="false" ht="15" hidden="false" customHeight="false" outlineLevel="0" collapsed="false">
      <c r="A11" s="33" t="s">
        <v>275</v>
      </c>
      <c r="B11" s="33" t="s">
        <v>276</v>
      </c>
      <c r="C11" s="38" t="n">
        <v>1</v>
      </c>
      <c r="D11" s="36" t="n">
        <v>5000</v>
      </c>
      <c r="E11" s="37" t="n">
        <f aca="false">IF(F11="No",0,C11*D11)</f>
        <v>5000</v>
      </c>
      <c r="F11" s="33" t="s">
        <v>101</v>
      </c>
      <c r="G11" s="33"/>
    </row>
    <row r="12" customFormat="false" ht="15" hidden="false" customHeight="false" outlineLevel="0" collapsed="false">
      <c r="A12" s="33" t="s">
        <v>277</v>
      </c>
      <c r="B12" s="33" t="s">
        <v>278</v>
      </c>
      <c r="C12" s="38" t="n">
        <v>1</v>
      </c>
      <c r="D12" s="36" t="n">
        <v>5000</v>
      </c>
      <c r="E12" s="37" t="n">
        <f aca="false">IF(F12="No",0,C12*D12)</f>
        <v>5000</v>
      </c>
      <c r="F12" s="33" t="s">
        <v>101</v>
      </c>
      <c r="G12" s="33"/>
    </row>
    <row r="13" customFormat="false" ht="15" hidden="false" customHeight="false" outlineLevel="0" collapsed="false">
      <c r="A13" s="33" t="s">
        <v>279</v>
      </c>
      <c r="B13" s="33" t="s">
        <v>280</v>
      </c>
      <c r="C13" s="38" t="n">
        <v>6</v>
      </c>
      <c r="D13" s="36" t="n">
        <v>350</v>
      </c>
      <c r="E13" s="37" t="n">
        <f aca="false">IF(F13="No",0,C13*D13)</f>
        <v>2100</v>
      </c>
      <c r="F13" s="33" t="s">
        <v>101</v>
      </c>
      <c r="G13" s="33"/>
    </row>
    <row r="14" customFormat="false" ht="15" hidden="false" customHeight="false" outlineLevel="0" collapsed="false">
      <c r="A14" s="33" t="s">
        <v>281</v>
      </c>
      <c r="B14" s="33" t="s">
        <v>282</v>
      </c>
      <c r="C14" s="38" t="n">
        <v>1</v>
      </c>
      <c r="D14" s="36" t="n">
        <v>8000</v>
      </c>
      <c r="E14" s="37" t="n">
        <f aca="false">IF(F14="No",0,C14*D14)</f>
        <v>0</v>
      </c>
      <c r="F14" s="33" t="s">
        <v>96</v>
      </c>
      <c r="G14" s="33"/>
    </row>
    <row r="15" customFormat="false" ht="15" hidden="false" customHeight="false" outlineLevel="0" collapsed="false">
      <c r="A15" s="33" t="s">
        <v>283</v>
      </c>
      <c r="B15" s="33" t="s">
        <v>284</v>
      </c>
      <c r="C15" s="38" t="n">
        <v>1</v>
      </c>
      <c r="D15" s="36" t="n">
        <v>3000</v>
      </c>
      <c r="E15" s="37" t="n">
        <f aca="false">IF(F15="No",0,C15*D15)</f>
        <v>3000</v>
      </c>
      <c r="F15" s="33" t="s">
        <v>101</v>
      </c>
      <c r="G15" s="33"/>
    </row>
    <row r="16" customFormat="false" ht="15" hidden="false" customHeight="false" outlineLevel="0" collapsed="false">
      <c r="A16" s="24"/>
      <c r="B16" s="24"/>
      <c r="C16" s="24"/>
      <c r="D16" s="24"/>
      <c r="E16" s="25" t="n">
        <f aca="false">SUM(E5:E15)</f>
        <v>54500</v>
      </c>
      <c r="F16" s="24"/>
      <c r="G16" s="24"/>
    </row>
  </sheetData>
  <sheetProtection sheet="true" formatCells="false" formatColumns="false" formatRows="false" insertColumns="false" insertRows="false" deleteColumns="false" deleteRows="false" sort="false" autoFilter="false"/>
  <mergeCells count="3">
    <mergeCell ref="A1:G1"/>
    <mergeCell ref="A2:G2"/>
    <mergeCell ref="A16:B16"/>
  </mergeCells>
  <dataValidations count="11">
    <dataValidation allowBlank="true" errorStyle="stop" operator="between" showDropDown="false" showErrorMessage="false" showInputMessage="false" sqref="F5" type="list">
      <formula1>YesNo</formula1>
      <formula2>0</formula2>
    </dataValidation>
    <dataValidation allowBlank="true" errorStyle="stop" operator="between" showDropDown="false" showErrorMessage="false" showInputMessage="false" sqref="F6" type="list">
      <formula1>YesNo</formula1>
      <formula2>0</formula2>
    </dataValidation>
    <dataValidation allowBlank="true" errorStyle="stop" operator="between" showDropDown="false" showErrorMessage="false" showInputMessage="false" sqref="F7" type="list">
      <formula1>YesNo</formula1>
      <formula2>0</formula2>
    </dataValidation>
    <dataValidation allowBlank="true" errorStyle="stop" operator="between" showDropDown="false" showErrorMessage="false" showInputMessage="false" sqref="F8" type="list">
      <formula1>YesNo</formula1>
      <formula2>0</formula2>
    </dataValidation>
    <dataValidation allowBlank="true" errorStyle="stop" operator="between" showDropDown="false" showErrorMessage="false" showInputMessage="false" sqref="F9" type="list">
      <formula1>YesNo</formula1>
      <formula2>0</formula2>
    </dataValidation>
    <dataValidation allowBlank="true" errorStyle="stop" operator="between" showDropDown="false" showErrorMessage="false" showInputMessage="false" sqref="F10" type="list">
      <formula1>YesNo</formula1>
      <formula2>0</formula2>
    </dataValidation>
    <dataValidation allowBlank="true" errorStyle="stop" operator="between" showDropDown="false" showErrorMessage="false" showInputMessage="false" sqref="F11" type="list">
      <formula1>YesNo</formula1>
      <formula2>0</formula2>
    </dataValidation>
    <dataValidation allowBlank="true" errorStyle="stop" operator="between" showDropDown="false" showErrorMessage="false" showInputMessage="false" sqref="F12" type="list">
      <formula1>YesNo</formula1>
      <formula2>0</formula2>
    </dataValidation>
    <dataValidation allowBlank="true" errorStyle="stop" operator="between" showDropDown="false" showErrorMessage="false" showInputMessage="false" sqref="F13" type="list">
      <formula1>YesNo</formula1>
      <formula2>0</formula2>
    </dataValidation>
    <dataValidation allowBlank="true" errorStyle="stop" operator="between" showDropDown="false" showErrorMessage="false" showInputMessage="false" sqref="F14" type="list">
      <formula1>YesNo</formula1>
      <formula2>0</formula2>
    </dataValidation>
    <dataValidation allowBlank="true" errorStyle="stop" operator="between" showDropDown="false" showErrorMessage="false" showInputMessage="false" sqref="F1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1"/>
    <col collapsed="false" customWidth="true" hidden="false" outlineLevel="0" max="3" min="3" style="0" width="14"/>
    <col collapsed="false" customWidth="true" hidden="false" outlineLevel="0" max="4" min="4" style="0" width="13"/>
    <col collapsed="false" customWidth="true" hidden="false" outlineLevel="0" max="5" min="5" style="0" width="14"/>
    <col collapsed="false" customWidth="true" hidden="false" outlineLevel="0" max="6" min="6" style="0" width="12"/>
    <col collapsed="false" customWidth="true" hidden="false" outlineLevel="0" max="7" min="7" style="0" width="16"/>
    <col collapsed="false" customWidth="true" hidden="false" outlineLevel="0" max="8" min="8" style="0" width="14"/>
    <col collapsed="false" customWidth="true" hidden="false" outlineLevel="0" max="9" min="9" style="0" width="26"/>
  </cols>
  <sheetData>
    <row r="1" customFormat="false" ht="24" hidden="false" customHeight="true" outlineLevel="0" collapsed="false">
      <c r="A1" s="1" t="s">
        <v>285</v>
      </c>
      <c r="B1" s="1"/>
      <c r="C1" s="1"/>
      <c r="D1" s="1"/>
      <c r="E1" s="1"/>
      <c r="F1" s="1"/>
      <c r="G1" s="1"/>
      <c r="H1" s="1"/>
      <c r="I1" s="1"/>
    </row>
    <row r="2" customFormat="false" ht="15.75" hidden="false" customHeight="true" outlineLevel="0" collapsed="false">
      <c r="A2" s="2" t="s">
        <v>286</v>
      </c>
      <c r="B2" s="2"/>
      <c r="C2" s="2"/>
      <c r="D2" s="2"/>
      <c r="E2" s="2"/>
      <c r="F2" s="2"/>
      <c r="G2" s="2"/>
      <c r="H2" s="2"/>
      <c r="I2" s="2"/>
    </row>
    <row r="4" customFormat="false" ht="30" hidden="false" customHeight="true" outlineLevel="0" collapsed="false">
      <c r="A4" s="14" t="s">
        <v>287</v>
      </c>
      <c r="B4" s="14" t="s">
        <v>288</v>
      </c>
      <c r="C4" s="14" t="s">
        <v>86</v>
      </c>
      <c r="D4" s="14" t="s">
        <v>88</v>
      </c>
      <c r="E4" s="14" t="s">
        <v>289</v>
      </c>
      <c r="F4" s="14" t="s">
        <v>290</v>
      </c>
      <c r="G4" s="14" t="s">
        <v>291</v>
      </c>
      <c r="H4" s="14" t="s">
        <v>92</v>
      </c>
      <c r="I4" s="14" t="s">
        <v>52</v>
      </c>
    </row>
    <row r="5" customFormat="false" ht="15" hidden="false" customHeight="false" outlineLevel="0" collapsed="false">
      <c r="A5" s="33" t="s">
        <v>292</v>
      </c>
      <c r="B5" s="38" t="n">
        <v>1</v>
      </c>
      <c r="C5" s="38" t="n">
        <v>2</v>
      </c>
      <c r="D5" s="36" t="n">
        <v>6000</v>
      </c>
      <c r="E5" s="36" t="n">
        <v>2000</v>
      </c>
      <c r="F5" s="36" t="n">
        <v>400</v>
      </c>
      <c r="G5" s="36" t="n">
        <v>4000</v>
      </c>
      <c r="H5" s="37" t="n">
        <f aca="false">B5*C5*D5+E5+F5+G5</f>
        <v>18400</v>
      </c>
      <c r="I5" s="33"/>
    </row>
    <row r="6" customFormat="false" ht="15" hidden="false" customHeight="false" outlineLevel="0" collapsed="false">
      <c r="A6" s="33" t="s">
        <v>293</v>
      </c>
      <c r="B6" s="38" t="n">
        <v>1</v>
      </c>
      <c r="C6" s="38" t="n">
        <v>2</v>
      </c>
      <c r="D6" s="36" t="n">
        <v>4000</v>
      </c>
      <c r="E6" s="36" t="n">
        <v>1500</v>
      </c>
      <c r="F6" s="36" t="n">
        <v>400</v>
      </c>
      <c r="G6" s="36" t="n">
        <v>3000</v>
      </c>
      <c r="H6" s="37" t="n">
        <f aca="false">B6*C6*D6+E6+F6+G6</f>
        <v>12900</v>
      </c>
      <c r="I6" s="33"/>
    </row>
    <row r="7" customFormat="false" ht="15" hidden="false" customHeight="false" outlineLevel="0" collapsed="false">
      <c r="A7" s="33" t="s">
        <v>294</v>
      </c>
      <c r="B7" s="38" t="n">
        <v>2</v>
      </c>
      <c r="C7" s="38" t="n">
        <v>2</v>
      </c>
      <c r="D7" s="36" t="n">
        <v>3200</v>
      </c>
      <c r="E7" s="36" t="n">
        <v>1000</v>
      </c>
      <c r="F7" s="36" t="n">
        <v>400</v>
      </c>
      <c r="G7" s="36" t="n">
        <v>2500</v>
      </c>
      <c r="H7" s="37" t="n">
        <f aca="false">B7*C7*D7+E7+F7+G7</f>
        <v>16700</v>
      </c>
      <c r="I7" s="33"/>
    </row>
    <row r="8" customFormat="false" ht="15" hidden="false" customHeight="false" outlineLevel="0" collapsed="false">
      <c r="A8" s="33" t="s">
        <v>295</v>
      </c>
      <c r="B8" s="38" t="n">
        <v>4</v>
      </c>
      <c r="C8" s="38" t="n">
        <v>2</v>
      </c>
      <c r="D8" s="36" t="n">
        <v>1600</v>
      </c>
      <c r="E8" s="36" t="n">
        <v>500</v>
      </c>
      <c r="F8" s="36" t="n">
        <v>400</v>
      </c>
      <c r="G8" s="36" t="n">
        <v>0</v>
      </c>
      <c r="H8" s="37" t="n">
        <f aca="false">B8*C8*D8+E8+F8+G8</f>
        <v>13700</v>
      </c>
      <c r="I8" s="33"/>
    </row>
    <row r="9" customFormat="false" ht="15" hidden="false" customHeight="false" outlineLevel="0" collapsed="false">
      <c r="A9" s="33" t="s">
        <v>296</v>
      </c>
      <c r="B9" s="38" t="n">
        <v>3</v>
      </c>
      <c r="C9" s="38" t="n">
        <v>2</v>
      </c>
      <c r="D9" s="36" t="n">
        <v>2800</v>
      </c>
      <c r="E9" s="36" t="n">
        <v>800</v>
      </c>
      <c r="F9" s="36" t="n">
        <v>400</v>
      </c>
      <c r="G9" s="36" t="n">
        <v>0</v>
      </c>
      <c r="H9" s="37" t="n">
        <f aca="false">B9*C9*D9+E9+F9+G9</f>
        <v>18000</v>
      </c>
      <c r="I9" s="33"/>
    </row>
    <row r="10" customFormat="false" ht="15" hidden="false" customHeight="false" outlineLevel="0" collapsed="false">
      <c r="A10" s="33" t="s">
        <v>297</v>
      </c>
      <c r="B10" s="38" t="n">
        <v>1</v>
      </c>
      <c r="C10" s="38" t="n">
        <v>2</v>
      </c>
      <c r="D10" s="36" t="n">
        <v>2800</v>
      </c>
      <c r="E10" s="36" t="n">
        <v>800</v>
      </c>
      <c r="F10" s="36" t="n">
        <v>400</v>
      </c>
      <c r="G10" s="36" t="n">
        <v>0</v>
      </c>
      <c r="H10" s="37" t="n">
        <f aca="false">B10*C10*D10+E10+F10+G10</f>
        <v>6800</v>
      </c>
      <c r="I10" s="33"/>
    </row>
    <row r="11" customFormat="false" ht="15" hidden="false" customHeight="false" outlineLevel="0" collapsed="false">
      <c r="A11" s="33" t="s">
        <v>298</v>
      </c>
      <c r="B11" s="38" t="n">
        <v>1</v>
      </c>
      <c r="C11" s="38" t="n">
        <v>2</v>
      </c>
      <c r="D11" s="36" t="n">
        <v>2800</v>
      </c>
      <c r="E11" s="36" t="n">
        <v>800</v>
      </c>
      <c r="F11" s="36" t="n">
        <v>400</v>
      </c>
      <c r="G11" s="36" t="n">
        <v>0</v>
      </c>
      <c r="H11" s="37" t="n">
        <f aca="false">B11*C11*D11+E11+F11+G11</f>
        <v>6800</v>
      </c>
      <c r="I11" s="33"/>
    </row>
    <row r="12" customFormat="false" ht="15" hidden="false" customHeight="false" outlineLevel="0" collapsed="false">
      <c r="A12" s="33" t="s">
        <v>299</v>
      </c>
      <c r="B12" s="38" t="n">
        <v>2</v>
      </c>
      <c r="C12" s="38" t="n">
        <v>2</v>
      </c>
      <c r="D12" s="36" t="n">
        <v>2600</v>
      </c>
      <c r="E12" s="36" t="n">
        <v>600</v>
      </c>
      <c r="F12" s="36" t="n">
        <v>400</v>
      </c>
      <c r="G12" s="36" t="n">
        <v>0</v>
      </c>
      <c r="H12" s="37" t="n">
        <f aca="false">B12*C12*D12+E12+F12+G12</f>
        <v>11400</v>
      </c>
      <c r="I12" s="33"/>
    </row>
    <row r="13" customFormat="false" ht="15" hidden="false" customHeight="false" outlineLevel="0" collapsed="false">
      <c r="A13" s="33" t="s">
        <v>300</v>
      </c>
      <c r="B13" s="38" t="n">
        <v>1</v>
      </c>
      <c r="C13" s="38" t="n">
        <v>2</v>
      </c>
      <c r="D13" s="36" t="n">
        <v>2800</v>
      </c>
      <c r="E13" s="36" t="n">
        <v>600</v>
      </c>
      <c r="F13" s="36" t="n">
        <v>400</v>
      </c>
      <c r="G13" s="36" t="n">
        <v>0</v>
      </c>
      <c r="H13" s="37" t="n">
        <f aca="false">B13*C13*D13+E13+F13+G13</f>
        <v>6600</v>
      </c>
      <c r="I13" s="33"/>
    </row>
    <row r="14" customFormat="false" ht="15" hidden="false" customHeight="false" outlineLevel="0" collapsed="false">
      <c r="A14" s="33" t="s">
        <v>301</v>
      </c>
      <c r="B14" s="38" t="n">
        <v>1</v>
      </c>
      <c r="C14" s="38" t="n">
        <v>2</v>
      </c>
      <c r="D14" s="36" t="n">
        <v>2800</v>
      </c>
      <c r="E14" s="36" t="n">
        <v>600</v>
      </c>
      <c r="F14" s="36" t="n">
        <v>400</v>
      </c>
      <c r="G14" s="36" t="n">
        <v>0</v>
      </c>
      <c r="H14" s="37" t="n">
        <f aca="false">B14*C14*D14+E14+F14+G14</f>
        <v>6600</v>
      </c>
      <c r="I14" s="33"/>
    </row>
    <row r="15" customFormat="false" ht="15" hidden="false" customHeight="false" outlineLevel="0" collapsed="false">
      <c r="A15" s="24" t="s">
        <v>302</v>
      </c>
      <c r="B15" s="24"/>
      <c r="C15" s="24"/>
      <c r="D15" s="24"/>
      <c r="E15" s="24"/>
      <c r="F15" s="24"/>
      <c r="G15" s="24"/>
      <c r="H15" s="25" t="n">
        <f aca="false">SUM(H5:H14)</f>
        <v>117900</v>
      </c>
      <c r="I15" s="24"/>
    </row>
  </sheetData>
  <sheetProtection sheet="true" formatCells="false" formatColumns="false" formatRows="false" insertColumns="false" insertRows="false" deleteColumns="false" deleteRows="false" sort="false" autoFilter="false"/>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11"/>
    <col collapsed="false" customWidth="true" hidden="false" outlineLevel="0" max="4" min="4" style="0" width="9"/>
    <col collapsed="false" customWidth="true" hidden="false" outlineLevel="0" max="5" min="5" style="0" width="13"/>
    <col collapsed="false" customWidth="true" hidden="false" outlineLevel="0" max="6" min="6" style="0" width="15"/>
    <col collapsed="false" customWidth="true" hidden="false" outlineLevel="0" max="7" min="7" style="0" width="13"/>
    <col collapsed="false" customWidth="true" hidden="false" outlineLevel="0" max="8" min="8" style="0" width="16"/>
    <col collapsed="false" customWidth="true" hidden="false" outlineLevel="0" max="9" min="9" style="0" width="12"/>
    <col collapsed="false" customWidth="true" hidden="false" outlineLevel="0" max="10" min="10" style="0" width="14"/>
    <col collapsed="false" customWidth="true" hidden="false" outlineLevel="0" max="11" min="11" style="0" width="24"/>
  </cols>
  <sheetData>
    <row r="1" customFormat="false" ht="24" hidden="false" customHeight="true" outlineLevel="0" collapsed="false">
      <c r="A1" s="1" t="s">
        <v>303</v>
      </c>
      <c r="B1" s="1"/>
      <c r="C1" s="1"/>
      <c r="D1" s="1"/>
      <c r="E1" s="1"/>
      <c r="F1" s="1"/>
      <c r="G1" s="1"/>
      <c r="H1" s="1"/>
      <c r="I1" s="1"/>
      <c r="J1" s="1"/>
      <c r="K1" s="1"/>
    </row>
    <row r="2" customFormat="false" ht="15.75" hidden="false" customHeight="true" outlineLevel="0" collapsed="false">
      <c r="A2" s="2" t="s">
        <v>304</v>
      </c>
      <c r="B2" s="2"/>
      <c r="C2" s="2"/>
      <c r="D2" s="2"/>
      <c r="E2" s="2"/>
      <c r="F2" s="2"/>
      <c r="G2" s="2"/>
      <c r="H2" s="2"/>
      <c r="I2" s="2"/>
      <c r="J2" s="2"/>
      <c r="K2" s="2"/>
    </row>
    <row r="4" customFormat="false" ht="30" hidden="false" customHeight="true" outlineLevel="0" collapsed="false">
      <c r="A4" s="14" t="s">
        <v>305</v>
      </c>
      <c r="B4" s="14" t="s">
        <v>306</v>
      </c>
      <c r="C4" s="14" t="s">
        <v>307</v>
      </c>
      <c r="D4" s="14" t="s">
        <v>308</v>
      </c>
      <c r="E4" s="14" t="s">
        <v>309</v>
      </c>
      <c r="F4" s="14" t="s">
        <v>310</v>
      </c>
      <c r="G4" s="14" t="s">
        <v>311</v>
      </c>
      <c r="H4" s="14" t="s">
        <v>312</v>
      </c>
      <c r="I4" s="14" t="s">
        <v>313</v>
      </c>
      <c r="J4" s="14" t="s">
        <v>92</v>
      </c>
      <c r="K4" s="14" t="s">
        <v>52</v>
      </c>
    </row>
    <row r="5" customFormat="false" ht="20.85" hidden="false" customHeight="false" outlineLevel="0" collapsed="false">
      <c r="A5" s="33" t="s">
        <v>314</v>
      </c>
      <c r="B5" s="33" t="s">
        <v>315</v>
      </c>
      <c r="C5" s="38" t="n">
        <v>2</v>
      </c>
      <c r="D5" s="38" t="n">
        <v>2</v>
      </c>
      <c r="E5" s="36" t="n">
        <v>2500</v>
      </c>
      <c r="F5" s="36" t="n">
        <v>1200</v>
      </c>
      <c r="G5" s="36" t="n">
        <v>1000</v>
      </c>
      <c r="H5" s="36" t="n">
        <v>800</v>
      </c>
      <c r="I5" s="36" t="n">
        <v>500</v>
      </c>
      <c r="J5" s="37" t="n">
        <f aca="false">C5*D5*E5+F5+G5+H5+I5</f>
        <v>13500</v>
      </c>
      <c r="K5" s="33"/>
    </row>
    <row r="6" customFormat="false" ht="20.85" hidden="false" customHeight="false" outlineLevel="0" collapsed="false">
      <c r="A6" s="33" t="s">
        <v>316</v>
      </c>
      <c r="B6" s="33" t="s">
        <v>317</v>
      </c>
      <c r="C6" s="38" t="n">
        <v>1</v>
      </c>
      <c r="D6" s="38" t="n">
        <v>2</v>
      </c>
      <c r="E6" s="36" t="n">
        <v>4500</v>
      </c>
      <c r="F6" s="36" t="n">
        <v>1800</v>
      </c>
      <c r="G6" s="36" t="n">
        <v>1200</v>
      </c>
      <c r="H6" s="36" t="n">
        <v>1200</v>
      </c>
      <c r="I6" s="36" t="n">
        <v>800</v>
      </c>
      <c r="J6" s="37" t="n">
        <f aca="false">C6*D6*E6+F6+G6+H6+I6</f>
        <v>14000</v>
      </c>
      <c r="K6" s="33"/>
    </row>
    <row r="7" customFormat="false" ht="15" hidden="false" customHeight="false" outlineLevel="0" collapsed="false">
      <c r="A7" s="33" t="s">
        <v>318</v>
      </c>
      <c r="B7" s="33" t="s">
        <v>319</v>
      </c>
      <c r="C7" s="38" t="n">
        <v>1</v>
      </c>
      <c r="D7" s="38" t="n">
        <v>2</v>
      </c>
      <c r="E7" s="36" t="n">
        <v>6000</v>
      </c>
      <c r="F7" s="36" t="n">
        <v>2000</v>
      </c>
      <c r="G7" s="36" t="n">
        <v>1500</v>
      </c>
      <c r="H7" s="36" t="n">
        <v>800</v>
      </c>
      <c r="I7" s="36" t="n">
        <v>800</v>
      </c>
      <c r="J7" s="37" t="n">
        <f aca="false">C7*D7*E7+F7+G7+H7+I7</f>
        <v>17100</v>
      </c>
      <c r="K7" s="33"/>
    </row>
    <row r="8" customFormat="false" ht="20.85" hidden="false" customHeight="false" outlineLevel="0" collapsed="false">
      <c r="A8" s="33" t="s">
        <v>320</v>
      </c>
      <c r="B8" s="33" t="s">
        <v>321</v>
      </c>
      <c r="C8" s="38" t="n">
        <v>2</v>
      </c>
      <c r="D8" s="38" t="n">
        <v>2</v>
      </c>
      <c r="E8" s="36" t="n">
        <v>1800</v>
      </c>
      <c r="F8" s="36" t="n">
        <v>800</v>
      </c>
      <c r="G8" s="36" t="n">
        <v>900</v>
      </c>
      <c r="H8" s="36" t="n">
        <v>0</v>
      </c>
      <c r="I8" s="36" t="n">
        <v>0</v>
      </c>
      <c r="J8" s="37" t="n">
        <f aca="false">C8*D8*E8+F8+G8+H8+I8</f>
        <v>8900</v>
      </c>
      <c r="K8" s="33"/>
    </row>
    <row r="9" customFormat="false" ht="20.85" hidden="false" customHeight="false" outlineLevel="0" collapsed="false">
      <c r="A9" s="33" t="s">
        <v>322</v>
      </c>
      <c r="B9" s="33" t="s">
        <v>323</v>
      </c>
      <c r="C9" s="38" t="n">
        <v>1</v>
      </c>
      <c r="D9" s="38" t="n">
        <v>3</v>
      </c>
      <c r="E9" s="36" t="n">
        <v>1500</v>
      </c>
      <c r="F9" s="36" t="n">
        <v>900</v>
      </c>
      <c r="G9" s="36" t="n">
        <v>800</v>
      </c>
      <c r="H9" s="36" t="n">
        <v>500</v>
      </c>
      <c r="I9" s="36" t="n">
        <v>500</v>
      </c>
      <c r="J9" s="37" t="n">
        <f aca="false">C9*D9*E9+F9+G9+H9+I9</f>
        <v>7200</v>
      </c>
      <c r="K9" s="33"/>
    </row>
    <row r="10" customFormat="false" ht="15" hidden="false" customHeight="false" outlineLevel="0" collapsed="false">
      <c r="A10" s="24" t="s">
        <v>324</v>
      </c>
      <c r="B10" s="24"/>
      <c r="C10" s="24"/>
      <c r="D10" s="24"/>
      <c r="E10" s="24"/>
      <c r="F10" s="24"/>
      <c r="G10" s="24"/>
      <c r="H10" s="24"/>
      <c r="I10" s="24"/>
      <c r="J10" s="25" t="n">
        <f aca="false">SUM(J5:J9)</f>
        <v>60700</v>
      </c>
      <c r="K10" s="24"/>
    </row>
    <row r="11" customFormat="false" ht="15" hidden="false" customHeight="false" outlineLevel="0" collapsed="false">
      <c r="A11" s="19" t="s">
        <v>325</v>
      </c>
      <c r="B11" s="19"/>
      <c r="C11" s="19"/>
      <c r="D11" s="19"/>
      <c r="E11" s="19"/>
      <c r="F11" s="19"/>
      <c r="G11" s="19"/>
      <c r="H11" s="19"/>
      <c r="I11" s="19"/>
      <c r="J11" s="21" t="n">
        <f aca="false">J10*TransportContingencyPct</f>
        <v>3035</v>
      </c>
      <c r="K11" s="19"/>
    </row>
    <row r="12" customFormat="false" ht="15" hidden="false" customHeight="false" outlineLevel="0" collapsed="false">
      <c r="A12" s="24" t="s">
        <v>326</v>
      </c>
      <c r="B12" s="24"/>
      <c r="C12" s="24"/>
      <c r="D12" s="24"/>
      <c r="E12" s="24"/>
      <c r="F12" s="24"/>
      <c r="G12" s="24"/>
      <c r="H12" s="24"/>
      <c r="I12" s="24"/>
      <c r="J12" s="25" t="n">
        <f aca="false">J10+J11</f>
        <v>63735</v>
      </c>
      <c r="K12" s="24"/>
    </row>
  </sheetData>
  <sheetProtection sheet="true" formatCells="false" formatColumns="false" formatRows="false" insertColumns="false" insertRows="false" deleteColumns="false" deleteRows="false" sort="false" autoFilter="false"/>
  <mergeCells count="5">
    <mergeCell ref="A1:K1"/>
    <mergeCell ref="A2:K2"/>
    <mergeCell ref="A10:B10"/>
    <mergeCell ref="A11:B11"/>
    <mergeCell ref="A12:B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3"/>
    <col collapsed="false" customWidth="true" hidden="false" outlineLevel="0" max="4" min="4" style="0" width="20"/>
    <col collapsed="false" customWidth="true" hidden="false" outlineLevel="0" max="5" min="5" style="0" width="16"/>
    <col collapsed="false" customWidth="true" hidden="false" outlineLevel="0" max="6" min="6" style="0" width="26"/>
    <col collapsed="false" customWidth="true" hidden="false" outlineLevel="0" max="7" min="7" style="0" width="15"/>
    <col collapsed="false" customWidth="true" hidden="false" outlineLevel="0" max="8" min="8" style="0" width="14"/>
    <col collapsed="false" customWidth="true" hidden="false" outlineLevel="0" max="9" min="9" style="0" width="13"/>
    <col collapsed="false" customWidth="true" hidden="false" outlineLevel="0" max="10" min="10" style="0" width="14"/>
    <col collapsed="false" customWidth="true" hidden="false" outlineLevel="0" max="11" min="11" style="0" width="15"/>
    <col collapsed="false" customWidth="true" hidden="false" outlineLevel="0" max="12" min="12" style="0" width="24"/>
  </cols>
  <sheetData>
    <row r="1" customFormat="false" ht="24" hidden="false" customHeight="true" outlineLevel="0" collapsed="false">
      <c r="A1" s="1" t="s">
        <v>327</v>
      </c>
      <c r="B1" s="1"/>
      <c r="C1" s="1"/>
      <c r="D1" s="1"/>
      <c r="E1" s="1"/>
      <c r="F1" s="1"/>
      <c r="G1" s="1"/>
      <c r="H1" s="1"/>
      <c r="I1" s="1"/>
      <c r="J1" s="1"/>
      <c r="K1" s="1"/>
      <c r="L1" s="1"/>
    </row>
    <row r="2" customFormat="false" ht="15.75" hidden="false" customHeight="true" outlineLevel="0" collapsed="false">
      <c r="A2" s="2" t="s">
        <v>328</v>
      </c>
      <c r="B2" s="2"/>
      <c r="C2" s="2"/>
      <c r="D2" s="2"/>
      <c r="E2" s="2"/>
      <c r="F2" s="2"/>
      <c r="G2" s="2"/>
      <c r="H2" s="2"/>
      <c r="I2" s="2"/>
      <c r="J2" s="2"/>
      <c r="K2" s="2"/>
      <c r="L2" s="2"/>
    </row>
    <row r="4" customFormat="false" ht="30" hidden="false" customHeight="true" outlineLevel="0" collapsed="false">
      <c r="A4" s="14" t="s">
        <v>329</v>
      </c>
      <c r="B4" s="14" t="s">
        <v>330</v>
      </c>
      <c r="C4" s="14" t="s">
        <v>331</v>
      </c>
      <c r="D4" s="14" t="s">
        <v>49</v>
      </c>
      <c r="E4" s="14" t="s">
        <v>332</v>
      </c>
      <c r="F4" s="14" t="s">
        <v>84</v>
      </c>
      <c r="G4" s="14" t="s">
        <v>333</v>
      </c>
      <c r="H4" s="14" t="s">
        <v>334</v>
      </c>
      <c r="I4" s="14" t="s">
        <v>335</v>
      </c>
      <c r="J4" s="14" t="s">
        <v>336</v>
      </c>
      <c r="K4" s="14" t="s">
        <v>337</v>
      </c>
      <c r="L4" s="14" t="s">
        <v>338</v>
      </c>
    </row>
    <row r="5" customFormat="false" ht="15" hidden="false" customHeight="false" outlineLevel="0" collapsed="false">
      <c r="A5" s="44" t="s">
        <v>339</v>
      </c>
      <c r="B5" s="33" t="s">
        <v>131</v>
      </c>
      <c r="C5" s="33" t="s">
        <v>340</v>
      </c>
      <c r="D5" s="33" t="s">
        <v>341</v>
      </c>
      <c r="E5" s="33" t="s">
        <v>342</v>
      </c>
      <c r="F5" s="33" t="s">
        <v>343</v>
      </c>
      <c r="G5" s="36" t="n">
        <v>45000</v>
      </c>
      <c r="H5" s="36" t="n">
        <v>46200</v>
      </c>
      <c r="I5" s="33" t="s">
        <v>344</v>
      </c>
      <c r="J5" s="33" t="s">
        <v>345</v>
      </c>
      <c r="K5" s="33" t="s">
        <v>346</v>
      </c>
      <c r="L5" s="33"/>
    </row>
    <row r="6" customFormat="false" ht="20.85" hidden="false" customHeight="false" outlineLevel="0" collapsed="false">
      <c r="A6" s="44" t="s">
        <v>347</v>
      </c>
      <c r="B6" s="33" t="s">
        <v>348</v>
      </c>
      <c r="C6" s="33" t="s">
        <v>349</v>
      </c>
      <c r="D6" s="33" t="s">
        <v>350</v>
      </c>
      <c r="E6" s="33" t="s">
        <v>351</v>
      </c>
      <c r="F6" s="33" t="s">
        <v>352</v>
      </c>
      <c r="G6" s="36" t="n">
        <v>180000</v>
      </c>
      <c r="H6" s="36" t="n">
        <v>176500</v>
      </c>
      <c r="I6" s="33" t="s">
        <v>344</v>
      </c>
      <c r="J6" s="33" t="s">
        <v>345</v>
      </c>
      <c r="K6" s="33" t="s">
        <v>353</v>
      </c>
      <c r="L6" s="33"/>
    </row>
    <row r="7" customFormat="false" ht="15" hidden="false" customHeight="false" outlineLevel="0" collapsed="false">
      <c r="A7" s="44" t="s">
        <v>354</v>
      </c>
      <c r="B7" s="33" t="s">
        <v>355</v>
      </c>
      <c r="C7" s="33" t="s">
        <v>356</v>
      </c>
      <c r="D7" s="33" t="s">
        <v>357</v>
      </c>
      <c r="E7" s="33" t="s">
        <v>358</v>
      </c>
      <c r="F7" s="33" t="s">
        <v>359</v>
      </c>
      <c r="G7" s="36" t="n">
        <v>220000</v>
      </c>
      <c r="H7" s="36" t="n">
        <v>228000</v>
      </c>
      <c r="I7" s="33" t="s">
        <v>344</v>
      </c>
      <c r="J7" s="33" t="s">
        <v>360</v>
      </c>
      <c r="K7" s="33" t="s">
        <v>346</v>
      </c>
      <c r="L7" s="33"/>
    </row>
    <row r="8" customFormat="false" ht="20.85" hidden="false" customHeight="false" outlineLevel="0" collapsed="false">
      <c r="A8" s="44" t="s">
        <v>20</v>
      </c>
      <c r="B8" s="33" t="s">
        <v>361</v>
      </c>
      <c r="C8" s="33" t="s">
        <v>362</v>
      </c>
      <c r="D8" s="33" t="s">
        <v>363</v>
      </c>
      <c r="E8" s="33" t="s">
        <v>364</v>
      </c>
      <c r="F8" s="33" t="s">
        <v>365</v>
      </c>
      <c r="G8" s="36" t="n">
        <v>32000</v>
      </c>
      <c r="H8" s="36" t="n">
        <v>33500</v>
      </c>
      <c r="I8" s="33" t="s">
        <v>344</v>
      </c>
      <c r="J8" s="33" t="s">
        <v>345</v>
      </c>
      <c r="K8" s="33" t="s">
        <v>366</v>
      </c>
      <c r="L8" s="33"/>
    </row>
    <row r="9" customFormat="false" ht="20.85" hidden="false" customHeight="false" outlineLevel="0" collapsed="false">
      <c r="A9" s="44" t="s">
        <v>8</v>
      </c>
      <c r="B9" s="33" t="s">
        <v>367</v>
      </c>
      <c r="C9" s="33" t="s">
        <v>368</v>
      </c>
      <c r="D9" s="33" t="s">
        <v>369</v>
      </c>
      <c r="E9" s="33" t="s">
        <v>370</v>
      </c>
      <c r="F9" s="33" t="s">
        <v>371</v>
      </c>
      <c r="G9" s="36" t="n">
        <v>15000</v>
      </c>
      <c r="H9" s="36" t="n">
        <v>14200</v>
      </c>
      <c r="I9" s="33" t="s">
        <v>344</v>
      </c>
      <c r="J9" s="33" t="s">
        <v>345</v>
      </c>
      <c r="K9" s="33" t="s">
        <v>353</v>
      </c>
      <c r="L9" s="33"/>
    </row>
    <row r="10" customFormat="false" ht="15" hidden="false" customHeight="false" outlineLevel="0" collapsed="false">
      <c r="A10" s="44"/>
      <c r="B10" s="33"/>
      <c r="C10" s="33"/>
      <c r="D10" s="33"/>
      <c r="E10" s="33"/>
      <c r="F10" s="33"/>
      <c r="G10" s="36"/>
      <c r="H10" s="36"/>
      <c r="I10" s="33"/>
      <c r="J10" s="33"/>
      <c r="K10" s="33"/>
      <c r="L10" s="33"/>
    </row>
    <row r="11" customFormat="false" ht="15" hidden="false" customHeight="false" outlineLevel="0" collapsed="false">
      <c r="A11" s="44"/>
      <c r="B11" s="33"/>
      <c r="C11" s="33"/>
      <c r="D11" s="33"/>
      <c r="E11" s="33"/>
      <c r="F11" s="33"/>
      <c r="G11" s="36"/>
      <c r="H11" s="36"/>
      <c r="I11" s="33"/>
      <c r="J11" s="33"/>
      <c r="K11" s="33"/>
      <c r="L11" s="33"/>
    </row>
    <row r="12" customFormat="false" ht="15" hidden="false" customHeight="false" outlineLevel="0" collapsed="false">
      <c r="A12" s="44"/>
      <c r="B12" s="33"/>
      <c r="C12" s="33"/>
      <c r="D12" s="33"/>
      <c r="E12" s="33"/>
      <c r="F12" s="33"/>
      <c r="G12" s="36"/>
      <c r="H12" s="36"/>
      <c r="I12" s="33"/>
      <c r="J12" s="33"/>
      <c r="K12" s="33"/>
      <c r="L12" s="33"/>
    </row>
    <row r="13" customFormat="false" ht="15" hidden="false" customHeight="false" outlineLevel="0" collapsed="false">
      <c r="A13" s="44"/>
      <c r="B13" s="33"/>
      <c r="C13" s="33"/>
      <c r="D13" s="33"/>
      <c r="E13" s="33"/>
      <c r="F13" s="33"/>
      <c r="G13" s="36"/>
      <c r="H13" s="36"/>
      <c r="I13" s="33"/>
      <c r="J13" s="33"/>
      <c r="K13" s="33"/>
      <c r="L13" s="33"/>
    </row>
    <row r="14" customFormat="false" ht="15" hidden="false" customHeight="false" outlineLevel="0" collapsed="false">
      <c r="A14" s="44"/>
      <c r="B14" s="33"/>
      <c r="C14" s="33"/>
      <c r="D14" s="33"/>
      <c r="E14" s="33"/>
      <c r="F14" s="33"/>
      <c r="G14" s="36"/>
      <c r="H14" s="36"/>
      <c r="I14" s="33"/>
      <c r="J14" s="33"/>
      <c r="K14" s="33"/>
      <c r="L14" s="33"/>
    </row>
    <row r="15" customFormat="false" ht="15" hidden="false" customHeight="false" outlineLevel="0" collapsed="false">
      <c r="A15" s="44"/>
      <c r="B15" s="33"/>
      <c r="C15" s="33"/>
      <c r="D15" s="33"/>
      <c r="E15" s="33"/>
      <c r="F15" s="33"/>
      <c r="G15" s="36"/>
      <c r="H15" s="36"/>
      <c r="I15" s="33"/>
      <c r="J15" s="33"/>
      <c r="K15" s="33"/>
      <c r="L15" s="33"/>
    </row>
    <row r="16" customFormat="false" ht="15" hidden="false" customHeight="false" outlineLevel="0" collapsed="false">
      <c r="A16" s="44"/>
      <c r="B16" s="33"/>
      <c r="C16" s="33"/>
      <c r="D16" s="33"/>
      <c r="E16" s="33"/>
      <c r="F16" s="33"/>
      <c r="G16" s="36"/>
      <c r="H16" s="36"/>
      <c r="I16" s="33"/>
      <c r="J16" s="33"/>
      <c r="K16" s="33"/>
      <c r="L16" s="33"/>
    </row>
    <row r="17" customFormat="false" ht="15" hidden="false" customHeight="false" outlineLevel="0" collapsed="false">
      <c r="A17" s="44"/>
      <c r="B17" s="33"/>
      <c r="C17" s="33"/>
      <c r="D17" s="33"/>
      <c r="E17" s="33"/>
      <c r="F17" s="33"/>
      <c r="G17" s="36"/>
      <c r="H17" s="36"/>
      <c r="I17" s="33"/>
      <c r="J17" s="33"/>
      <c r="K17" s="33"/>
      <c r="L17" s="33"/>
    </row>
    <row r="18" customFormat="false" ht="15" hidden="false" customHeight="false" outlineLevel="0" collapsed="false">
      <c r="A18" s="44"/>
      <c r="B18" s="33"/>
      <c r="C18" s="33"/>
      <c r="D18" s="33"/>
      <c r="E18" s="33"/>
      <c r="F18" s="33"/>
      <c r="G18" s="36"/>
      <c r="H18" s="36"/>
      <c r="I18" s="33"/>
      <c r="J18" s="33"/>
      <c r="K18" s="33"/>
      <c r="L18" s="33"/>
    </row>
    <row r="19" customFormat="false" ht="15" hidden="false" customHeight="false" outlineLevel="0" collapsed="false">
      <c r="A19" s="44"/>
      <c r="B19" s="33"/>
      <c r="C19" s="33"/>
      <c r="D19" s="33"/>
      <c r="E19" s="33"/>
      <c r="F19" s="33"/>
      <c r="G19" s="36"/>
      <c r="H19" s="36"/>
      <c r="I19" s="33"/>
      <c r="J19" s="33"/>
      <c r="K19" s="33"/>
      <c r="L19" s="33"/>
    </row>
    <row r="20" customFormat="false" ht="15" hidden="false" customHeight="false" outlineLevel="0" collapsed="false">
      <c r="A20" s="44"/>
      <c r="B20" s="33"/>
      <c r="C20" s="33"/>
      <c r="D20" s="33"/>
      <c r="E20" s="33"/>
      <c r="F20" s="33"/>
      <c r="G20" s="36"/>
      <c r="H20" s="36"/>
      <c r="I20" s="33"/>
      <c r="J20" s="33"/>
      <c r="K20" s="33"/>
      <c r="L20" s="33"/>
    </row>
    <row r="21" customFormat="false" ht="15" hidden="false" customHeight="false" outlineLevel="0" collapsed="false">
      <c r="A21" s="44"/>
      <c r="B21" s="33"/>
      <c r="C21" s="33"/>
      <c r="D21" s="33"/>
      <c r="E21" s="33"/>
      <c r="F21" s="33"/>
      <c r="G21" s="36"/>
      <c r="H21" s="36"/>
      <c r="I21" s="33"/>
      <c r="J21" s="33"/>
      <c r="K21" s="33"/>
      <c r="L21" s="33"/>
    </row>
    <row r="22" customFormat="false" ht="15" hidden="false" customHeight="false" outlineLevel="0" collapsed="false">
      <c r="A22" s="44"/>
      <c r="B22" s="33"/>
      <c r="C22" s="33"/>
      <c r="D22" s="33"/>
      <c r="E22" s="33"/>
      <c r="F22" s="33"/>
      <c r="G22" s="36"/>
      <c r="H22" s="36"/>
      <c r="I22" s="33"/>
      <c r="J22" s="33"/>
      <c r="K22" s="33"/>
      <c r="L22" s="33"/>
    </row>
    <row r="23" customFormat="false" ht="15" hidden="false" customHeight="false" outlineLevel="0" collapsed="false">
      <c r="A23" s="44"/>
      <c r="B23" s="33"/>
      <c r="C23" s="33"/>
      <c r="D23" s="33"/>
      <c r="E23" s="33"/>
      <c r="F23" s="33"/>
      <c r="G23" s="36"/>
      <c r="H23" s="36"/>
      <c r="I23" s="33"/>
      <c r="J23" s="33"/>
      <c r="K23" s="33"/>
      <c r="L23" s="33"/>
    </row>
    <row r="24" customFormat="false" ht="15" hidden="false" customHeight="false" outlineLevel="0" collapsed="false">
      <c r="A24" s="44"/>
      <c r="B24" s="33"/>
      <c r="C24" s="33"/>
      <c r="D24" s="33"/>
      <c r="E24" s="33"/>
      <c r="F24" s="33"/>
      <c r="G24" s="36"/>
      <c r="H24" s="36"/>
      <c r="I24" s="33"/>
      <c r="J24" s="33"/>
      <c r="K24" s="33"/>
      <c r="L24" s="33"/>
    </row>
    <row r="25" customFormat="false" ht="15" hidden="false" customHeight="false" outlineLevel="0" collapsed="false">
      <c r="A25" s="44"/>
      <c r="B25" s="33"/>
      <c r="C25" s="33"/>
      <c r="D25" s="33"/>
      <c r="E25" s="33"/>
      <c r="F25" s="33"/>
      <c r="G25" s="36"/>
      <c r="H25" s="36"/>
      <c r="I25" s="33"/>
      <c r="J25" s="33"/>
      <c r="K25" s="33"/>
      <c r="L25" s="33"/>
    </row>
    <row r="26" customFormat="false" ht="15" hidden="false" customHeight="false" outlineLevel="0" collapsed="false">
      <c r="A26" s="44"/>
      <c r="B26" s="33"/>
      <c r="C26" s="33"/>
      <c r="D26" s="33"/>
      <c r="E26" s="33"/>
      <c r="F26" s="33"/>
      <c r="G26" s="36"/>
      <c r="H26" s="36"/>
      <c r="I26" s="33"/>
      <c r="J26" s="33"/>
      <c r="K26" s="33"/>
      <c r="L26" s="33"/>
    </row>
    <row r="27" customFormat="false" ht="15" hidden="false" customHeight="false" outlineLevel="0" collapsed="false">
      <c r="A27" s="44"/>
      <c r="B27" s="33"/>
      <c r="C27" s="33"/>
      <c r="D27" s="33"/>
      <c r="E27" s="33"/>
      <c r="F27" s="33"/>
      <c r="G27" s="36"/>
      <c r="H27" s="36"/>
      <c r="I27" s="33"/>
      <c r="J27" s="33"/>
      <c r="K27" s="33"/>
      <c r="L27" s="33"/>
    </row>
    <row r="28" customFormat="false" ht="15" hidden="false" customHeight="false" outlineLevel="0" collapsed="false">
      <c r="A28" s="44"/>
      <c r="B28" s="33"/>
      <c r="C28" s="33"/>
      <c r="D28" s="33"/>
      <c r="E28" s="33"/>
      <c r="F28" s="33"/>
      <c r="G28" s="36"/>
      <c r="H28" s="36"/>
      <c r="I28" s="33"/>
      <c r="J28" s="33"/>
      <c r="K28" s="33"/>
      <c r="L28" s="33"/>
    </row>
    <row r="29" customFormat="false" ht="15" hidden="false" customHeight="false" outlineLevel="0" collapsed="false">
      <c r="A29" s="44"/>
      <c r="B29" s="33"/>
      <c r="C29" s="33"/>
      <c r="D29" s="33"/>
      <c r="E29" s="33"/>
      <c r="F29" s="33"/>
      <c r="G29" s="36"/>
      <c r="H29" s="36"/>
      <c r="I29" s="33"/>
      <c r="J29" s="33"/>
      <c r="K29" s="33"/>
      <c r="L29" s="33"/>
    </row>
    <row r="30" customFormat="false" ht="15" hidden="false" customHeight="false" outlineLevel="0" collapsed="false">
      <c r="A30" s="44"/>
      <c r="B30" s="33"/>
      <c r="C30" s="33"/>
      <c r="D30" s="33"/>
      <c r="E30" s="33"/>
      <c r="F30" s="33"/>
      <c r="G30" s="36"/>
      <c r="H30" s="36"/>
      <c r="I30" s="33"/>
      <c r="J30" s="33"/>
      <c r="K30" s="33"/>
      <c r="L30" s="33"/>
    </row>
    <row r="31" customFormat="false" ht="15" hidden="false" customHeight="false" outlineLevel="0" collapsed="false">
      <c r="A31" s="44"/>
      <c r="B31" s="33"/>
      <c r="C31" s="33"/>
      <c r="D31" s="33"/>
      <c r="E31" s="33"/>
      <c r="F31" s="33"/>
      <c r="G31" s="36"/>
      <c r="H31" s="36"/>
      <c r="I31" s="33"/>
      <c r="J31" s="33"/>
      <c r="K31" s="33"/>
      <c r="L31" s="33"/>
    </row>
    <row r="32" customFormat="false" ht="15" hidden="false" customHeight="false" outlineLevel="0" collapsed="false">
      <c r="A32" s="44"/>
      <c r="B32" s="33"/>
      <c r="C32" s="33"/>
      <c r="D32" s="33"/>
      <c r="E32" s="33"/>
      <c r="F32" s="33"/>
      <c r="G32" s="36"/>
      <c r="H32" s="36"/>
      <c r="I32" s="33"/>
      <c r="J32" s="33"/>
      <c r="K32" s="33"/>
      <c r="L32" s="33"/>
    </row>
    <row r="33" customFormat="false" ht="15" hidden="false" customHeight="false" outlineLevel="0" collapsed="false">
      <c r="A33" s="44"/>
      <c r="B33" s="33"/>
      <c r="C33" s="33"/>
      <c r="D33" s="33"/>
      <c r="E33" s="33"/>
      <c r="F33" s="33"/>
      <c r="G33" s="36"/>
      <c r="H33" s="36"/>
      <c r="I33" s="33"/>
      <c r="J33" s="33"/>
      <c r="K33" s="33"/>
      <c r="L33" s="33"/>
    </row>
    <row r="34" customFormat="false" ht="15" hidden="false" customHeight="false" outlineLevel="0" collapsed="false">
      <c r="A34" s="44"/>
      <c r="B34" s="33"/>
      <c r="C34" s="33"/>
      <c r="D34" s="33"/>
      <c r="E34" s="33"/>
      <c r="F34" s="33"/>
      <c r="G34" s="36"/>
      <c r="H34" s="36"/>
      <c r="I34" s="33"/>
      <c r="J34" s="33"/>
      <c r="K34" s="33"/>
      <c r="L34" s="33"/>
    </row>
    <row r="35" customFormat="false" ht="15" hidden="false" customHeight="false" outlineLevel="0" collapsed="false">
      <c r="A35" s="44"/>
      <c r="B35" s="33"/>
      <c r="C35" s="33"/>
      <c r="D35" s="33"/>
      <c r="E35" s="33"/>
      <c r="F35" s="33"/>
      <c r="G35" s="36"/>
      <c r="H35" s="36"/>
      <c r="I35" s="33"/>
      <c r="J35" s="33"/>
      <c r="K35" s="33"/>
      <c r="L35" s="33"/>
    </row>
    <row r="36" customFormat="false" ht="15" hidden="false" customHeight="false" outlineLevel="0" collapsed="false">
      <c r="A36" s="44"/>
      <c r="B36" s="33"/>
      <c r="C36" s="33"/>
      <c r="D36" s="33"/>
      <c r="E36" s="33"/>
      <c r="F36" s="33"/>
      <c r="G36" s="36"/>
      <c r="H36" s="36"/>
      <c r="I36" s="33"/>
      <c r="J36" s="33"/>
      <c r="K36" s="33"/>
      <c r="L36" s="33"/>
    </row>
    <row r="37" customFormat="false" ht="15" hidden="false" customHeight="false" outlineLevel="0" collapsed="false">
      <c r="A37" s="44"/>
      <c r="B37" s="33"/>
      <c r="C37" s="33"/>
      <c r="D37" s="33"/>
      <c r="E37" s="33"/>
      <c r="F37" s="33"/>
      <c r="G37" s="36"/>
      <c r="H37" s="36"/>
      <c r="I37" s="33"/>
      <c r="J37" s="33"/>
      <c r="K37" s="33"/>
      <c r="L37" s="33"/>
    </row>
    <row r="38" customFormat="false" ht="15" hidden="false" customHeight="false" outlineLevel="0" collapsed="false">
      <c r="A38" s="44"/>
      <c r="B38" s="33"/>
      <c r="C38" s="33"/>
      <c r="D38" s="33"/>
      <c r="E38" s="33"/>
      <c r="F38" s="33"/>
      <c r="G38" s="36"/>
      <c r="H38" s="36"/>
      <c r="I38" s="33"/>
      <c r="J38" s="33"/>
      <c r="K38" s="33"/>
      <c r="L38" s="33"/>
    </row>
    <row r="39" customFormat="false" ht="15" hidden="false" customHeight="false" outlineLevel="0" collapsed="false">
      <c r="A39" s="44"/>
      <c r="B39" s="33"/>
      <c r="C39" s="33"/>
      <c r="D39" s="33"/>
      <c r="E39" s="33"/>
      <c r="F39" s="33"/>
      <c r="G39" s="36"/>
      <c r="H39" s="36"/>
      <c r="I39" s="33"/>
      <c r="J39" s="33"/>
      <c r="K39" s="33"/>
      <c r="L39" s="33"/>
    </row>
    <row r="40" customFormat="false" ht="15" hidden="false" customHeight="false" outlineLevel="0" collapsed="false">
      <c r="A40" s="44"/>
      <c r="B40" s="33"/>
      <c r="C40" s="33"/>
      <c r="D40" s="33"/>
      <c r="E40" s="33"/>
      <c r="F40" s="33"/>
      <c r="G40" s="36"/>
      <c r="H40" s="36"/>
      <c r="I40" s="33"/>
      <c r="J40" s="33"/>
      <c r="K40" s="33"/>
      <c r="L40" s="33"/>
    </row>
    <row r="41" customFormat="false" ht="15" hidden="false" customHeight="false" outlineLevel="0" collapsed="false">
      <c r="A41" s="44"/>
      <c r="B41" s="33"/>
      <c r="C41" s="33"/>
      <c r="D41" s="33"/>
      <c r="E41" s="33"/>
      <c r="F41" s="33"/>
      <c r="G41" s="36"/>
      <c r="H41" s="36"/>
      <c r="I41" s="33"/>
      <c r="J41" s="33"/>
      <c r="K41" s="33"/>
      <c r="L41" s="33"/>
    </row>
    <row r="42" customFormat="false" ht="15" hidden="false" customHeight="false" outlineLevel="0" collapsed="false">
      <c r="A42" s="44"/>
      <c r="B42" s="33"/>
      <c r="C42" s="33"/>
      <c r="D42" s="33"/>
      <c r="E42" s="33"/>
      <c r="F42" s="33"/>
      <c r="G42" s="36"/>
      <c r="H42" s="36"/>
      <c r="I42" s="33"/>
      <c r="J42" s="33"/>
      <c r="K42" s="33"/>
      <c r="L42" s="33"/>
    </row>
    <row r="43" customFormat="false" ht="15" hidden="false" customHeight="false" outlineLevel="0" collapsed="false">
      <c r="A43" s="44"/>
      <c r="B43" s="33"/>
      <c r="C43" s="33"/>
      <c r="D43" s="33"/>
      <c r="E43" s="33"/>
      <c r="F43" s="33"/>
      <c r="G43" s="36"/>
      <c r="H43" s="36"/>
      <c r="I43" s="33"/>
      <c r="J43" s="33"/>
      <c r="K43" s="33"/>
      <c r="L43" s="33"/>
    </row>
    <row r="44" customFormat="false" ht="15" hidden="false" customHeight="false" outlineLevel="0" collapsed="false">
      <c r="A44" s="44"/>
      <c r="B44" s="33"/>
      <c r="C44" s="33"/>
      <c r="D44" s="33"/>
      <c r="E44" s="33"/>
      <c r="F44" s="33"/>
      <c r="G44" s="36"/>
      <c r="H44" s="36"/>
      <c r="I44" s="33"/>
      <c r="J44" s="33"/>
      <c r="K44" s="33"/>
      <c r="L44" s="33"/>
    </row>
    <row r="45" customFormat="false" ht="15" hidden="false" customHeight="false" outlineLevel="0" collapsed="false">
      <c r="A45" s="44"/>
      <c r="B45" s="33"/>
      <c r="C45" s="33"/>
      <c r="D45" s="33"/>
      <c r="E45" s="33"/>
      <c r="F45" s="33"/>
      <c r="G45" s="36"/>
      <c r="H45" s="36"/>
      <c r="I45" s="33"/>
      <c r="J45" s="33"/>
      <c r="K45" s="33"/>
      <c r="L45" s="33"/>
    </row>
    <row r="46" customFormat="false" ht="15" hidden="false" customHeight="false" outlineLevel="0" collapsed="false">
      <c r="A46" s="44"/>
      <c r="B46" s="33"/>
      <c r="C46" s="33"/>
      <c r="D46" s="33"/>
      <c r="E46" s="33"/>
      <c r="F46" s="33"/>
      <c r="G46" s="36"/>
      <c r="H46" s="36"/>
      <c r="I46" s="33"/>
      <c r="J46" s="33"/>
      <c r="K46" s="33"/>
      <c r="L46" s="33"/>
    </row>
    <row r="47" customFormat="false" ht="15" hidden="false" customHeight="false" outlineLevel="0" collapsed="false">
      <c r="A47" s="44"/>
      <c r="B47" s="33"/>
      <c r="C47" s="33"/>
      <c r="D47" s="33"/>
      <c r="E47" s="33"/>
      <c r="F47" s="33"/>
      <c r="G47" s="36"/>
      <c r="H47" s="36"/>
      <c r="I47" s="33"/>
      <c r="J47" s="33"/>
      <c r="K47" s="33"/>
      <c r="L47" s="33"/>
    </row>
    <row r="48" customFormat="false" ht="15" hidden="false" customHeight="false" outlineLevel="0" collapsed="false">
      <c r="A48" s="44"/>
      <c r="B48" s="33"/>
      <c r="C48" s="33"/>
      <c r="D48" s="33"/>
      <c r="E48" s="33"/>
      <c r="F48" s="33"/>
      <c r="G48" s="36"/>
      <c r="H48" s="36"/>
      <c r="I48" s="33"/>
      <c r="J48" s="33"/>
      <c r="K48" s="33"/>
      <c r="L48" s="33"/>
    </row>
    <row r="49" customFormat="false" ht="15" hidden="false" customHeight="false" outlineLevel="0" collapsed="false">
      <c r="A49" s="44"/>
      <c r="B49" s="33"/>
      <c r="C49" s="33"/>
      <c r="D49" s="33"/>
      <c r="E49" s="33"/>
      <c r="F49" s="33"/>
      <c r="G49" s="36"/>
      <c r="H49" s="36"/>
      <c r="I49" s="33"/>
      <c r="J49" s="33"/>
      <c r="K49" s="33"/>
      <c r="L49" s="33"/>
    </row>
  </sheetData>
  <sheetProtection sheet="true" formatCells="false" formatColumns="false" formatRows="false" insertColumns="false" deleteColumns="false" deleteRows="false" sort="false" autoFilter="false"/>
  <mergeCells count="2">
    <mergeCell ref="A1:L1"/>
    <mergeCell ref="A2:L2"/>
  </mergeCells>
  <dataValidations count="135">
    <dataValidation allowBlank="true" errorStyle="stop" operator="between" showDropDown="false" showErrorMessage="false" showInputMessage="false" sqref="D5" type="list">
      <formula1>CostHead</formula1>
      <formula2>0</formula2>
    </dataValidation>
    <dataValidation allowBlank="true" errorStyle="stop" operator="between" showDropDown="false" showErrorMessage="false" showInputMessage="false" sqref="I5" type="list">
      <formula1>PaymentStatus</formula1>
      <formula2>0</formula2>
    </dataValidation>
    <dataValidation allowBlank="true" errorStyle="stop" operator="between" showDropDown="false" showErrorMessage="false" showInputMessage="false" sqref="K5" type="list">
      <formula1>ModeOfPayment</formula1>
      <formula2>0</formula2>
    </dataValidation>
    <dataValidation allowBlank="true" errorStyle="stop" operator="between" showDropDown="false" showErrorMessage="false" showInputMessage="false" sqref="D6" type="list">
      <formula1>CostHead</formula1>
      <formula2>0</formula2>
    </dataValidation>
    <dataValidation allowBlank="true" errorStyle="stop" operator="between" showDropDown="false" showErrorMessage="false" showInputMessage="false" sqref="I6" type="list">
      <formula1>PaymentStatus</formula1>
      <formula2>0</formula2>
    </dataValidation>
    <dataValidation allowBlank="true" errorStyle="stop" operator="between" showDropDown="false" showErrorMessage="false" showInputMessage="false" sqref="K6" type="list">
      <formula1>ModeOfPayment</formula1>
      <formula2>0</formula2>
    </dataValidation>
    <dataValidation allowBlank="true" errorStyle="stop" operator="between" showDropDown="false" showErrorMessage="false" showInputMessage="false" sqref="D7" type="list">
      <formula1>CostHead</formula1>
      <formula2>0</formula2>
    </dataValidation>
    <dataValidation allowBlank="true" errorStyle="stop" operator="between" showDropDown="false" showErrorMessage="false" showInputMessage="false" sqref="I7" type="list">
      <formula1>PaymentStatus</formula1>
      <formula2>0</formula2>
    </dataValidation>
    <dataValidation allowBlank="true" errorStyle="stop" operator="between" showDropDown="false" showErrorMessage="false" showInputMessage="false" sqref="K7" type="list">
      <formula1>ModeOfPayment</formula1>
      <formula2>0</formula2>
    </dataValidation>
    <dataValidation allowBlank="true" errorStyle="stop" operator="between" showDropDown="false" showErrorMessage="false" showInputMessage="false" sqref="D8" type="list">
      <formula1>CostHead</formula1>
      <formula2>0</formula2>
    </dataValidation>
    <dataValidation allowBlank="true" errorStyle="stop" operator="between" showDropDown="false" showErrorMessage="false" showInputMessage="false" sqref="I8" type="list">
      <formula1>PaymentStatus</formula1>
      <formula2>0</formula2>
    </dataValidation>
    <dataValidation allowBlank="true" errorStyle="stop" operator="between" showDropDown="false" showErrorMessage="false" showInputMessage="false" sqref="K8" type="list">
      <formula1>ModeOfPayment</formula1>
      <formula2>0</formula2>
    </dataValidation>
    <dataValidation allowBlank="true" errorStyle="stop" operator="between" showDropDown="false" showErrorMessage="false" showInputMessage="false" sqref="D9" type="list">
      <formula1>CostHead</formula1>
      <formula2>0</formula2>
    </dataValidation>
    <dataValidation allowBlank="true" errorStyle="stop" operator="between" showDropDown="false" showErrorMessage="false" showInputMessage="false" sqref="I9" type="list">
      <formula1>PaymentStatus</formula1>
      <formula2>0</formula2>
    </dataValidation>
    <dataValidation allowBlank="true" errorStyle="stop" operator="between" showDropDown="false" showErrorMessage="false" showInputMessage="false" sqref="K9" type="list">
      <formula1>ModeOfPayment</formula1>
      <formula2>0</formula2>
    </dataValidation>
    <dataValidation allowBlank="true" errorStyle="stop" operator="between" showDropDown="false" showErrorMessage="false" showInputMessage="false" sqref="D10" type="list">
      <formula1>CostHead</formula1>
      <formula2>0</formula2>
    </dataValidation>
    <dataValidation allowBlank="true" errorStyle="stop" operator="between" showDropDown="false" showErrorMessage="false" showInputMessage="false" sqref="I10" type="list">
      <formula1>PaymentStatus</formula1>
      <formula2>0</formula2>
    </dataValidation>
    <dataValidation allowBlank="true" errorStyle="stop" operator="between" showDropDown="false" showErrorMessage="false" showInputMessage="false" sqref="K10" type="list">
      <formula1>ModeOfPayment</formula1>
      <formula2>0</formula2>
    </dataValidation>
    <dataValidation allowBlank="true" errorStyle="stop" operator="between" showDropDown="false" showErrorMessage="false" showInputMessage="false" sqref="D11" type="list">
      <formula1>CostHead</formula1>
      <formula2>0</formula2>
    </dataValidation>
    <dataValidation allowBlank="true" errorStyle="stop" operator="between" showDropDown="false" showErrorMessage="false" showInputMessage="false" sqref="I11" type="list">
      <formula1>PaymentStatus</formula1>
      <formula2>0</formula2>
    </dataValidation>
    <dataValidation allowBlank="true" errorStyle="stop" operator="between" showDropDown="false" showErrorMessage="false" showInputMessage="false" sqref="K11" type="list">
      <formula1>ModeOfPayment</formula1>
      <formula2>0</formula2>
    </dataValidation>
    <dataValidation allowBlank="true" errorStyle="stop" operator="between" showDropDown="false" showErrorMessage="false" showInputMessage="false" sqref="D12" type="list">
      <formula1>CostHead</formula1>
      <formula2>0</formula2>
    </dataValidation>
    <dataValidation allowBlank="true" errorStyle="stop" operator="between" showDropDown="false" showErrorMessage="false" showInputMessage="false" sqref="I12" type="list">
      <formula1>PaymentStatus</formula1>
      <formula2>0</formula2>
    </dataValidation>
    <dataValidation allowBlank="true" errorStyle="stop" operator="between" showDropDown="false" showErrorMessage="false" showInputMessage="false" sqref="K12" type="list">
      <formula1>ModeOfPayment</formula1>
      <formula2>0</formula2>
    </dataValidation>
    <dataValidation allowBlank="true" errorStyle="stop" operator="between" showDropDown="false" showErrorMessage="false" showInputMessage="false" sqref="D13" type="list">
      <formula1>CostHead</formula1>
      <formula2>0</formula2>
    </dataValidation>
    <dataValidation allowBlank="true" errorStyle="stop" operator="between" showDropDown="false" showErrorMessage="false" showInputMessage="false" sqref="I13" type="list">
      <formula1>PaymentStatus</formula1>
      <formula2>0</formula2>
    </dataValidation>
    <dataValidation allowBlank="true" errorStyle="stop" operator="between" showDropDown="false" showErrorMessage="false" showInputMessage="false" sqref="K13" type="list">
      <formula1>ModeOfPayment</formula1>
      <formula2>0</formula2>
    </dataValidation>
    <dataValidation allowBlank="true" errorStyle="stop" operator="between" showDropDown="false" showErrorMessage="false" showInputMessage="false" sqref="D14" type="list">
      <formula1>CostHead</formula1>
      <formula2>0</formula2>
    </dataValidation>
    <dataValidation allowBlank="true" errorStyle="stop" operator="between" showDropDown="false" showErrorMessage="false" showInputMessage="false" sqref="I14" type="list">
      <formula1>PaymentStatus</formula1>
      <formula2>0</formula2>
    </dataValidation>
    <dataValidation allowBlank="true" errorStyle="stop" operator="between" showDropDown="false" showErrorMessage="false" showInputMessage="false" sqref="K14" type="list">
      <formula1>ModeOfPayment</formula1>
      <formula2>0</formula2>
    </dataValidation>
    <dataValidation allowBlank="true" errorStyle="stop" operator="between" showDropDown="false" showErrorMessage="false" showInputMessage="false" sqref="D15" type="list">
      <formula1>CostHead</formula1>
      <formula2>0</formula2>
    </dataValidation>
    <dataValidation allowBlank="true" errorStyle="stop" operator="between" showDropDown="false" showErrorMessage="false" showInputMessage="false" sqref="I15" type="list">
      <formula1>PaymentStatus</formula1>
      <formula2>0</formula2>
    </dataValidation>
    <dataValidation allowBlank="true" errorStyle="stop" operator="between" showDropDown="false" showErrorMessage="false" showInputMessage="false" sqref="K15" type="list">
      <formula1>ModeOfPayment</formula1>
      <formula2>0</formula2>
    </dataValidation>
    <dataValidation allowBlank="true" errorStyle="stop" operator="between" showDropDown="false" showErrorMessage="false" showInputMessage="false" sqref="D16" type="list">
      <formula1>CostHead</formula1>
      <formula2>0</formula2>
    </dataValidation>
    <dataValidation allowBlank="true" errorStyle="stop" operator="between" showDropDown="false" showErrorMessage="false" showInputMessage="false" sqref="I16" type="list">
      <formula1>PaymentStatus</formula1>
      <formula2>0</formula2>
    </dataValidation>
    <dataValidation allowBlank="true" errorStyle="stop" operator="between" showDropDown="false" showErrorMessage="false" showInputMessage="false" sqref="K16" type="list">
      <formula1>ModeOfPayment</formula1>
      <formula2>0</formula2>
    </dataValidation>
    <dataValidation allowBlank="true" errorStyle="stop" operator="between" showDropDown="false" showErrorMessage="false" showInputMessage="false" sqref="D17" type="list">
      <formula1>CostHead</formula1>
      <formula2>0</formula2>
    </dataValidation>
    <dataValidation allowBlank="true" errorStyle="stop" operator="between" showDropDown="false" showErrorMessage="false" showInputMessage="false" sqref="I17" type="list">
      <formula1>PaymentStatus</formula1>
      <formula2>0</formula2>
    </dataValidation>
    <dataValidation allowBlank="true" errorStyle="stop" operator="between" showDropDown="false" showErrorMessage="false" showInputMessage="false" sqref="K17" type="list">
      <formula1>ModeOfPayment</formula1>
      <formula2>0</formula2>
    </dataValidation>
    <dataValidation allowBlank="true" errorStyle="stop" operator="between" showDropDown="false" showErrorMessage="false" showInputMessage="false" sqref="D18" type="list">
      <formula1>CostHead</formula1>
      <formula2>0</formula2>
    </dataValidation>
    <dataValidation allowBlank="true" errorStyle="stop" operator="between" showDropDown="false" showErrorMessage="false" showInputMessage="false" sqref="I18" type="list">
      <formula1>PaymentStatus</formula1>
      <formula2>0</formula2>
    </dataValidation>
    <dataValidation allowBlank="true" errorStyle="stop" operator="between" showDropDown="false" showErrorMessage="false" showInputMessage="false" sqref="K18" type="list">
      <formula1>ModeOfPayment</formula1>
      <formula2>0</formula2>
    </dataValidation>
    <dataValidation allowBlank="true" errorStyle="stop" operator="between" showDropDown="false" showErrorMessage="false" showInputMessage="false" sqref="D19" type="list">
      <formula1>CostHead</formula1>
      <formula2>0</formula2>
    </dataValidation>
    <dataValidation allowBlank="true" errorStyle="stop" operator="between" showDropDown="false" showErrorMessage="false" showInputMessage="false" sqref="I19" type="list">
      <formula1>PaymentStatus</formula1>
      <formula2>0</formula2>
    </dataValidation>
    <dataValidation allowBlank="true" errorStyle="stop" operator="between" showDropDown="false" showErrorMessage="false" showInputMessage="false" sqref="K19" type="list">
      <formula1>ModeOfPayment</formula1>
      <formula2>0</formula2>
    </dataValidation>
    <dataValidation allowBlank="true" errorStyle="stop" operator="between" showDropDown="false" showErrorMessage="false" showInputMessage="false" sqref="D20" type="list">
      <formula1>CostHead</formula1>
      <formula2>0</formula2>
    </dataValidation>
    <dataValidation allowBlank="true" errorStyle="stop" operator="between" showDropDown="false" showErrorMessage="false" showInputMessage="false" sqref="I20" type="list">
      <formula1>PaymentStatus</formula1>
      <formula2>0</formula2>
    </dataValidation>
    <dataValidation allowBlank="true" errorStyle="stop" operator="between" showDropDown="false" showErrorMessage="false" showInputMessage="false" sqref="K20" type="list">
      <formula1>ModeOfPayment</formula1>
      <formula2>0</formula2>
    </dataValidation>
    <dataValidation allowBlank="true" errorStyle="stop" operator="between" showDropDown="false" showErrorMessage="false" showInputMessage="false" sqref="D21" type="list">
      <formula1>CostHead</formula1>
      <formula2>0</formula2>
    </dataValidation>
    <dataValidation allowBlank="true" errorStyle="stop" operator="between" showDropDown="false" showErrorMessage="false" showInputMessage="false" sqref="I21" type="list">
      <formula1>PaymentStatus</formula1>
      <formula2>0</formula2>
    </dataValidation>
    <dataValidation allowBlank="true" errorStyle="stop" operator="between" showDropDown="false" showErrorMessage="false" showInputMessage="false" sqref="K21" type="list">
      <formula1>ModeOfPayment</formula1>
      <formula2>0</formula2>
    </dataValidation>
    <dataValidation allowBlank="true" errorStyle="stop" operator="between" showDropDown="false" showErrorMessage="false" showInputMessage="false" sqref="D22" type="list">
      <formula1>CostHead</formula1>
      <formula2>0</formula2>
    </dataValidation>
    <dataValidation allowBlank="true" errorStyle="stop" operator="between" showDropDown="false" showErrorMessage="false" showInputMessage="false" sqref="I22" type="list">
      <formula1>PaymentStatus</formula1>
      <formula2>0</formula2>
    </dataValidation>
    <dataValidation allowBlank="true" errorStyle="stop" operator="between" showDropDown="false" showErrorMessage="false" showInputMessage="false" sqref="K22" type="list">
      <formula1>ModeOfPayment</formula1>
      <formula2>0</formula2>
    </dataValidation>
    <dataValidation allowBlank="true" errorStyle="stop" operator="between" showDropDown="false" showErrorMessage="false" showInputMessage="false" sqref="D23" type="list">
      <formula1>CostHead</formula1>
      <formula2>0</formula2>
    </dataValidation>
    <dataValidation allowBlank="true" errorStyle="stop" operator="between" showDropDown="false" showErrorMessage="false" showInputMessage="false" sqref="I23" type="list">
      <formula1>PaymentStatus</formula1>
      <formula2>0</formula2>
    </dataValidation>
    <dataValidation allowBlank="true" errorStyle="stop" operator="between" showDropDown="false" showErrorMessage="false" showInputMessage="false" sqref="K23" type="list">
      <formula1>ModeOfPayment</formula1>
      <formula2>0</formula2>
    </dataValidation>
    <dataValidation allowBlank="true" errorStyle="stop" operator="between" showDropDown="false" showErrorMessage="false" showInputMessage="false" sqref="D24" type="list">
      <formula1>CostHead</formula1>
      <formula2>0</formula2>
    </dataValidation>
    <dataValidation allowBlank="true" errorStyle="stop" operator="between" showDropDown="false" showErrorMessage="false" showInputMessage="false" sqref="I24" type="list">
      <formula1>PaymentStatus</formula1>
      <formula2>0</formula2>
    </dataValidation>
    <dataValidation allowBlank="true" errorStyle="stop" operator="between" showDropDown="false" showErrorMessage="false" showInputMessage="false" sqref="K24" type="list">
      <formula1>ModeOfPayment</formula1>
      <formula2>0</formula2>
    </dataValidation>
    <dataValidation allowBlank="true" errorStyle="stop" operator="between" showDropDown="false" showErrorMessage="false" showInputMessage="false" sqref="D25" type="list">
      <formula1>CostHead</formula1>
      <formula2>0</formula2>
    </dataValidation>
    <dataValidation allowBlank="true" errorStyle="stop" operator="between" showDropDown="false" showErrorMessage="false" showInputMessage="false" sqref="I25" type="list">
      <formula1>PaymentStatus</formula1>
      <formula2>0</formula2>
    </dataValidation>
    <dataValidation allowBlank="true" errorStyle="stop" operator="between" showDropDown="false" showErrorMessage="false" showInputMessage="false" sqref="K25" type="list">
      <formula1>ModeOfPayment</formula1>
      <formula2>0</formula2>
    </dataValidation>
    <dataValidation allowBlank="true" errorStyle="stop" operator="between" showDropDown="false" showErrorMessage="false" showInputMessage="false" sqref="D26" type="list">
      <formula1>CostHead</formula1>
      <formula2>0</formula2>
    </dataValidation>
    <dataValidation allowBlank="true" errorStyle="stop" operator="between" showDropDown="false" showErrorMessage="false" showInputMessage="false" sqref="I26" type="list">
      <formula1>PaymentStatus</formula1>
      <formula2>0</formula2>
    </dataValidation>
    <dataValidation allowBlank="true" errorStyle="stop" operator="between" showDropDown="false" showErrorMessage="false" showInputMessage="false" sqref="K26" type="list">
      <formula1>ModeOfPayment</formula1>
      <formula2>0</formula2>
    </dataValidation>
    <dataValidation allowBlank="true" errorStyle="stop" operator="between" showDropDown="false" showErrorMessage="false" showInputMessage="false" sqref="D27" type="list">
      <formula1>CostHead</formula1>
      <formula2>0</formula2>
    </dataValidation>
    <dataValidation allowBlank="true" errorStyle="stop" operator="between" showDropDown="false" showErrorMessage="false" showInputMessage="false" sqref="I27" type="list">
      <formula1>PaymentStatus</formula1>
      <formula2>0</formula2>
    </dataValidation>
    <dataValidation allowBlank="true" errorStyle="stop" operator="between" showDropDown="false" showErrorMessage="false" showInputMessage="false" sqref="K27" type="list">
      <formula1>ModeOfPayment</formula1>
      <formula2>0</formula2>
    </dataValidation>
    <dataValidation allowBlank="true" errorStyle="stop" operator="between" showDropDown="false" showErrorMessage="false" showInputMessage="false" sqref="D28" type="list">
      <formula1>CostHead</formula1>
      <formula2>0</formula2>
    </dataValidation>
    <dataValidation allowBlank="true" errorStyle="stop" operator="between" showDropDown="false" showErrorMessage="false" showInputMessage="false" sqref="I28" type="list">
      <formula1>PaymentStatus</formula1>
      <formula2>0</formula2>
    </dataValidation>
    <dataValidation allowBlank="true" errorStyle="stop" operator="between" showDropDown="false" showErrorMessage="false" showInputMessage="false" sqref="K28" type="list">
      <formula1>ModeOfPayment</formula1>
      <formula2>0</formula2>
    </dataValidation>
    <dataValidation allowBlank="true" errorStyle="stop" operator="between" showDropDown="false" showErrorMessage="false" showInputMessage="false" sqref="D29" type="list">
      <formula1>CostHead</formula1>
      <formula2>0</formula2>
    </dataValidation>
    <dataValidation allowBlank="true" errorStyle="stop" operator="between" showDropDown="false" showErrorMessage="false" showInputMessage="false" sqref="I29" type="list">
      <formula1>PaymentStatus</formula1>
      <formula2>0</formula2>
    </dataValidation>
    <dataValidation allowBlank="true" errorStyle="stop" operator="between" showDropDown="false" showErrorMessage="false" showInputMessage="false" sqref="K29" type="list">
      <formula1>ModeOfPayment</formula1>
      <formula2>0</formula2>
    </dataValidation>
    <dataValidation allowBlank="true" errorStyle="stop" operator="between" showDropDown="false" showErrorMessage="false" showInputMessage="false" sqref="D30" type="list">
      <formula1>CostHead</formula1>
      <formula2>0</formula2>
    </dataValidation>
    <dataValidation allowBlank="true" errorStyle="stop" operator="between" showDropDown="false" showErrorMessage="false" showInputMessage="false" sqref="I30" type="list">
      <formula1>PaymentStatus</formula1>
      <formula2>0</formula2>
    </dataValidation>
    <dataValidation allowBlank="true" errorStyle="stop" operator="between" showDropDown="false" showErrorMessage="false" showInputMessage="false" sqref="K30" type="list">
      <formula1>ModeOfPayment</formula1>
      <formula2>0</formula2>
    </dataValidation>
    <dataValidation allowBlank="true" errorStyle="stop" operator="between" showDropDown="false" showErrorMessage="false" showInputMessage="false" sqref="D31" type="list">
      <formula1>CostHead</formula1>
      <formula2>0</formula2>
    </dataValidation>
    <dataValidation allowBlank="true" errorStyle="stop" operator="between" showDropDown="false" showErrorMessage="false" showInputMessage="false" sqref="I31" type="list">
      <formula1>PaymentStatus</formula1>
      <formula2>0</formula2>
    </dataValidation>
    <dataValidation allowBlank="true" errorStyle="stop" operator="between" showDropDown="false" showErrorMessage="false" showInputMessage="false" sqref="K31" type="list">
      <formula1>ModeOfPayment</formula1>
      <formula2>0</formula2>
    </dataValidation>
    <dataValidation allowBlank="true" errorStyle="stop" operator="between" showDropDown="false" showErrorMessage="false" showInputMessage="false" sqref="D32" type="list">
      <formula1>CostHead</formula1>
      <formula2>0</formula2>
    </dataValidation>
    <dataValidation allowBlank="true" errorStyle="stop" operator="between" showDropDown="false" showErrorMessage="false" showInputMessage="false" sqref="I32" type="list">
      <formula1>PaymentStatus</formula1>
      <formula2>0</formula2>
    </dataValidation>
    <dataValidation allowBlank="true" errorStyle="stop" operator="between" showDropDown="false" showErrorMessage="false" showInputMessage="false" sqref="K32" type="list">
      <formula1>ModeOfPayment</formula1>
      <formula2>0</formula2>
    </dataValidation>
    <dataValidation allowBlank="true" errorStyle="stop" operator="between" showDropDown="false" showErrorMessage="false" showInputMessage="false" sqref="D33" type="list">
      <formula1>CostHead</formula1>
      <formula2>0</formula2>
    </dataValidation>
    <dataValidation allowBlank="true" errorStyle="stop" operator="between" showDropDown="false" showErrorMessage="false" showInputMessage="false" sqref="I33" type="list">
      <formula1>PaymentStatus</formula1>
      <formula2>0</formula2>
    </dataValidation>
    <dataValidation allowBlank="true" errorStyle="stop" operator="between" showDropDown="false" showErrorMessage="false" showInputMessage="false" sqref="K33" type="list">
      <formula1>ModeOfPayment</formula1>
      <formula2>0</formula2>
    </dataValidation>
    <dataValidation allowBlank="true" errorStyle="stop" operator="between" showDropDown="false" showErrorMessage="false" showInputMessage="false" sqref="D34" type="list">
      <formula1>CostHead</formula1>
      <formula2>0</formula2>
    </dataValidation>
    <dataValidation allowBlank="true" errorStyle="stop" operator="between" showDropDown="false" showErrorMessage="false" showInputMessage="false" sqref="I34" type="list">
      <formula1>PaymentStatus</formula1>
      <formula2>0</formula2>
    </dataValidation>
    <dataValidation allowBlank="true" errorStyle="stop" operator="between" showDropDown="false" showErrorMessage="false" showInputMessage="false" sqref="K34" type="list">
      <formula1>ModeOfPayment</formula1>
      <formula2>0</formula2>
    </dataValidation>
    <dataValidation allowBlank="true" errorStyle="stop" operator="between" showDropDown="false" showErrorMessage="false" showInputMessage="false" sqref="D35" type="list">
      <formula1>CostHead</formula1>
      <formula2>0</formula2>
    </dataValidation>
    <dataValidation allowBlank="true" errorStyle="stop" operator="between" showDropDown="false" showErrorMessage="false" showInputMessage="false" sqref="I35" type="list">
      <formula1>PaymentStatus</formula1>
      <formula2>0</formula2>
    </dataValidation>
    <dataValidation allowBlank="true" errorStyle="stop" operator="between" showDropDown="false" showErrorMessage="false" showInputMessage="false" sqref="K35" type="list">
      <formula1>ModeOfPayment</formula1>
      <formula2>0</formula2>
    </dataValidation>
    <dataValidation allowBlank="true" errorStyle="stop" operator="between" showDropDown="false" showErrorMessage="false" showInputMessage="false" sqref="D36" type="list">
      <formula1>CostHead</formula1>
      <formula2>0</formula2>
    </dataValidation>
    <dataValidation allowBlank="true" errorStyle="stop" operator="between" showDropDown="false" showErrorMessage="false" showInputMessage="false" sqref="I36" type="list">
      <formula1>PaymentStatus</formula1>
      <formula2>0</formula2>
    </dataValidation>
    <dataValidation allowBlank="true" errorStyle="stop" operator="between" showDropDown="false" showErrorMessage="false" showInputMessage="false" sqref="K36" type="list">
      <formula1>ModeOfPayment</formula1>
      <formula2>0</formula2>
    </dataValidation>
    <dataValidation allowBlank="true" errorStyle="stop" operator="between" showDropDown="false" showErrorMessage="false" showInputMessage="false" sqref="D37" type="list">
      <formula1>CostHead</formula1>
      <formula2>0</formula2>
    </dataValidation>
    <dataValidation allowBlank="true" errorStyle="stop" operator="between" showDropDown="false" showErrorMessage="false" showInputMessage="false" sqref="I37" type="list">
      <formula1>PaymentStatus</formula1>
      <formula2>0</formula2>
    </dataValidation>
    <dataValidation allowBlank="true" errorStyle="stop" operator="between" showDropDown="false" showErrorMessage="false" showInputMessage="false" sqref="K37" type="list">
      <formula1>ModeOfPayment</formula1>
      <formula2>0</formula2>
    </dataValidation>
    <dataValidation allowBlank="true" errorStyle="stop" operator="between" showDropDown="false" showErrorMessage="false" showInputMessage="false" sqref="D38" type="list">
      <formula1>CostHead</formula1>
      <formula2>0</formula2>
    </dataValidation>
    <dataValidation allowBlank="true" errorStyle="stop" operator="between" showDropDown="false" showErrorMessage="false" showInputMessage="false" sqref="I38" type="list">
      <formula1>PaymentStatus</formula1>
      <formula2>0</formula2>
    </dataValidation>
    <dataValidation allowBlank="true" errorStyle="stop" operator="between" showDropDown="false" showErrorMessage="false" showInputMessage="false" sqref="K38" type="list">
      <formula1>ModeOfPayment</formula1>
      <formula2>0</formula2>
    </dataValidation>
    <dataValidation allowBlank="true" errorStyle="stop" operator="between" showDropDown="false" showErrorMessage="false" showInputMessage="false" sqref="D39" type="list">
      <formula1>CostHead</formula1>
      <formula2>0</formula2>
    </dataValidation>
    <dataValidation allowBlank="true" errorStyle="stop" operator="between" showDropDown="false" showErrorMessage="false" showInputMessage="false" sqref="I39" type="list">
      <formula1>PaymentStatus</formula1>
      <formula2>0</formula2>
    </dataValidation>
    <dataValidation allowBlank="true" errorStyle="stop" operator="between" showDropDown="false" showErrorMessage="false" showInputMessage="false" sqref="K39" type="list">
      <formula1>ModeOfPayment</formula1>
      <formula2>0</formula2>
    </dataValidation>
    <dataValidation allowBlank="true" errorStyle="stop" operator="between" showDropDown="false" showErrorMessage="false" showInputMessage="false" sqref="D40" type="list">
      <formula1>CostHead</formula1>
      <formula2>0</formula2>
    </dataValidation>
    <dataValidation allowBlank="true" errorStyle="stop" operator="between" showDropDown="false" showErrorMessage="false" showInputMessage="false" sqref="I40" type="list">
      <formula1>PaymentStatus</formula1>
      <formula2>0</formula2>
    </dataValidation>
    <dataValidation allowBlank="true" errorStyle="stop" operator="between" showDropDown="false" showErrorMessage="false" showInputMessage="false" sqref="K40" type="list">
      <formula1>ModeOfPayment</formula1>
      <formula2>0</formula2>
    </dataValidation>
    <dataValidation allowBlank="true" errorStyle="stop" operator="between" showDropDown="false" showErrorMessage="false" showInputMessage="false" sqref="D41" type="list">
      <formula1>CostHead</formula1>
      <formula2>0</formula2>
    </dataValidation>
    <dataValidation allowBlank="true" errorStyle="stop" operator="between" showDropDown="false" showErrorMessage="false" showInputMessage="false" sqref="I41" type="list">
      <formula1>PaymentStatus</formula1>
      <formula2>0</formula2>
    </dataValidation>
    <dataValidation allowBlank="true" errorStyle="stop" operator="between" showDropDown="false" showErrorMessage="false" showInputMessage="false" sqref="K41" type="list">
      <formula1>ModeOfPayment</formula1>
      <formula2>0</formula2>
    </dataValidation>
    <dataValidation allowBlank="true" errorStyle="stop" operator="between" showDropDown="false" showErrorMessage="false" showInputMessage="false" sqref="D42" type="list">
      <formula1>CostHead</formula1>
      <formula2>0</formula2>
    </dataValidation>
    <dataValidation allowBlank="true" errorStyle="stop" operator="between" showDropDown="false" showErrorMessage="false" showInputMessage="false" sqref="I42" type="list">
      <formula1>PaymentStatus</formula1>
      <formula2>0</formula2>
    </dataValidation>
    <dataValidation allowBlank="true" errorStyle="stop" operator="between" showDropDown="false" showErrorMessage="false" showInputMessage="false" sqref="K42" type="list">
      <formula1>ModeOfPayment</formula1>
      <formula2>0</formula2>
    </dataValidation>
    <dataValidation allowBlank="true" errorStyle="stop" operator="between" showDropDown="false" showErrorMessage="false" showInputMessage="false" sqref="D43" type="list">
      <formula1>CostHead</formula1>
      <formula2>0</formula2>
    </dataValidation>
    <dataValidation allowBlank="true" errorStyle="stop" operator="between" showDropDown="false" showErrorMessage="false" showInputMessage="false" sqref="I43" type="list">
      <formula1>PaymentStatus</formula1>
      <formula2>0</formula2>
    </dataValidation>
    <dataValidation allowBlank="true" errorStyle="stop" operator="between" showDropDown="false" showErrorMessage="false" showInputMessage="false" sqref="K43" type="list">
      <formula1>ModeOfPayment</formula1>
      <formula2>0</formula2>
    </dataValidation>
    <dataValidation allowBlank="true" errorStyle="stop" operator="between" showDropDown="false" showErrorMessage="false" showInputMessage="false" sqref="D44" type="list">
      <formula1>CostHead</formula1>
      <formula2>0</formula2>
    </dataValidation>
    <dataValidation allowBlank="true" errorStyle="stop" operator="between" showDropDown="false" showErrorMessage="false" showInputMessage="false" sqref="I44" type="list">
      <formula1>PaymentStatus</formula1>
      <formula2>0</formula2>
    </dataValidation>
    <dataValidation allowBlank="true" errorStyle="stop" operator="between" showDropDown="false" showErrorMessage="false" showInputMessage="false" sqref="K44" type="list">
      <formula1>ModeOfPayment</formula1>
      <formula2>0</formula2>
    </dataValidation>
    <dataValidation allowBlank="true" errorStyle="stop" operator="between" showDropDown="false" showErrorMessage="false" showInputMessage="false" sqref="D45" type="list">
      <formula1>CostHead</formula1>
      <formula2>0</formula2>
    </dataValidation>
    <dataValidation allowBlank="true" errorStyle="stop" operator="between" showDropDown="false" showErrorMessage="false" showInputMessage="false" sqref="I45" type="list">
      <formula1>PaymentStatus</formula1>
      <formula2>0</formula2>
    </dataValidation>
    <dataValidation allowBlank="true" errorStyle="stop" operator="between" showDropDown="false" showErrorMessage="false" showInputMessage="false" sqref="K45" type="list">
      <formula1>ModeOfPayment</formula1>
      <formula2>0</formula2>
    </dataValidation>
    <dataValidation allowBlank="true" errorStyle="stop" operator="between" showDropDown="false" showErrorMessage="false" showInputMessage="false" sqref="D46" type="list">
      <formula1>CostHead</formula1>
      <formula2>0</formula2>
    </dataValidation>
    <dataValidation allowBlank="true" errorStyle="stop" operator="between" showDropDown="false" showErrorMessage="false" showInputMessage="false" sqref="I46" type="list">
      <formula1>PaymentStatus</formula1>
      <formula2>0</formula2>
    </dataValidation>
    <dataValidation allowBlank="true" errorStyle="stop" operator="between" showDropDown="false" showErrorMessage="false" showInputMessage="false" sqref="K46" type="list">
      <formula1>ModeOfPayment</formula1>
      <formula2>0</formula2>
    </dataValidation>
    <dataValidation allowBlank="true" errorStyle="stop" operator="between" showDropDown="false" showErrorMessage="false" showInputMessage="false" sqref="D47" type="list">
      <formula1>CostHead</formula1>
      <formula2>0</formula2>
    </dataValidation>
    <dataValidation allowBlank="true" errorStyle="stop" operator="between" showDropDown="false" showErrorMessage="false" showInputMessage="false" sqref="I47" type="list">
      <formula1>PaymentStatus</formula1>
      <formula2>0</formula2>
    </dataValidation>
    <dataValidation allowBlank="true" errorStyle="stop" operator="between" showDropDown="false" showErrorMessage="false" showInputMessage="false" sqref="K47" type="list">
      <formula1>ModeOfPayment</formula1>
      <formula2>0</formula2>
    </dataValidation>
    <dataValidation allowBlank="true" errorStyle="stop" operator="between" showDropDown="false" showErrorMessage="false" showInputMessage="false" sqref="D48" type="list">
      <formula1>CostHead</formula1>
      <formula2>0</formula2>
    </dataValidation>
    <dataValidation allowBlank="true" errorStyle="stop" operator="between" showDropDown="false" showErrorMessage="false" showInputMessage="false" sqref="I48" type="list">
      <formula1>PaymentStatus</formula1>
      <formula2>0</formula2>
    </dataValidation>
    <dataValidation allowBlank="true" errorStyle="stop" operator="between" showDropDown="false" showErrorMessage="false" showInputMessage="false" sqref="K48" type="list">
      <formula1>ModeOfPayment</formula1>
      <formula2>0</formula2>
    </dataValidation>
    <dataValidation allowBlank="true" errorStyle="stop" operator="between" showDropDown="false" showErrorMessage="false" showInputMessage="false" sqref="D49" type="list">
      <formula1>CostHead</formula1>
      <formula2>0</formula2>
    </dataValidation>
    <dataValidation allowBlank="true" errorStyle="stop" operator="between" showDropDown="false" showErrorMessage="false" showInputMessage="false" sqref="I49" type="list">
      <formula1>PaymentStatus</formula1>
      <formula2>0</formula2>
    </dataValidation>
    <dataValidation allowBlank="true" errorStyle="stop" operator="between" showDropDown="false" showErrorMessage="false" showInputMessage="false" sqref="K49" type="list">
      <formula1>ModeOfPayment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5"/>
    <col collapsed="false" customWidth="true" hidden="false" outlineLevel="0" max="8" min="8" style="0" width="30"/>
  </cols>
  <sheetData>
    <row r="1" customFormat="false" ht="24" hidden="false" customHeight="true" outlineLevel="0" collapsed="false">
      <c r="A1" s="1" t="s">
        <v>372</v>
      </c>
      <c r="B1" s="1"/>
      <c r="C1" s="1"/>
      <c r="D1" s="1"/>
      <c r="E1" s="1"/>
      <c r="F1" s="1"/>
      <c r="G1" s="1"/>
      <c r="H1" s="1"/>
    </row>
    <row r="2" customFormat="false" ht="15.75" hidden="false" customHeight="true" outlineLevel="0" collapsed="false">
      <c r="A2" s="2" t="s">
        <v>373</v>
      </c>
      <c r="B2" s="2"/>
      <c r="C2" s="2"/>
      <c r="D2" s="2"/>
      <c r="E2" s="2"/>
      <c r="F2" s="2"/>
      <c r="G2" s="2"/>
      <c r="H2" s="2"/>
    </row>
    <row r="4" customFormat="false" ht="30" hidden="false" customHeight="true" outlineLevel="0" collapsed="false">
      <c r="B4" s="14" t="s">
        <v>49</v>
      </c>
      <c r="C4" s="14" t="s">
        <v>50</v>
      </c>
      <c r="D4" s="14" t="s">
        <v>374</v>
      </c>
      <c r="E4" s="14" t="s">
        <v>375</v>
      </c>
      <c r="F4" s="14" t="s">
        <v>376</v>
      </c>
      <c r="G4" s="14" t="s">
        <v>377</v>
      </c>
      <c r="H4" s="14" t="s">
        <v>338</v>
      </c>
    </row>
    <row r="5" customFormat="false" ht="15" hidden="false" customHeight="false" outlineLevel="0" collapsed="false">
      <c r="B5" s="15" t="s">
        <v>357</v>
      </c>
      <c r="C5" s="16" t="n">
        <f aca="false">ServiceCostTotal</f>
        <v>117820</v>
      </c>
      <c r="D5" s="16" t="n">
        <f aca="false">SUMIF('Actual Cost Entry'!$D:$D,B5,'Actual Cost Entry'!$H:$H)</f>
        <v>228000</v>
      </c>
      <c r="E5" s="45" t="n">
        <f aca="false">D5-C5</f>
        <v>110180</v>
      </c>
      <c r="F5" s="17" t="n">
        <f aca="false">IF(C5=0,0,E5/C5)</f>
        <v>0.935155321677135</v>
      </c>
      <c r="G5" s="46" t="str">
        <f aca="false">IF(F5&lt;-0.05,"Under Budget",IF(F5&lt;=0.05,"On Budget","Over Budget"))</f>
        <v>Over Budget</v>
      </c>
      <c r="H5" s="47"/>
    </row>
    <row r="6" customFormat="false" ht="15" hidden="false" customHeight="false" outlineLevel="0" collapsed="false">
      <c r="B6" s="15" t="s">
        <v>341</v>
      </c>
      <c r="C6" s="16" t="n">
        <f aca="false">SetupCostTotal</f>
        <v>225378</v>
      </c>
      <c r="D6" s="16" t="n">
        <f aca="false">SUMIF('Actual Cost Entry'!$D:$D,B6,'Actual Cost Entry'!$H:$H)</f>
        <v>46200</v>
      </c>
      <c r="E6" s="45" t="n">
        <f aca="false">D6-C6</f>
        <v>-179178</v>
      </c>
      <c r="F6" s="17" t="n">
        <f aca="false">IF(C6=0,0,E6/C6)</f>
        <v>-0.795011048105849</v>
      </c>
      <c r="G6" s="46" t="str">
        <f aca="false">IF(F6&lt;-0.05,"Under Budget",IF(F6&lt;=0.05,"On Budget","Over Budget"))</f>
        <v>Under Budget</v>
      </c>
      <c r="H6" s="47"/>
    </row>
    <row r="7" customFormat="false" ht="15" hidden="false" customHeight="false" outlineLevel="0" collapsed="false">
      <c r="B7" s="15" t="s">
        <v>350</v>
      </c>
      <c r="C7" s="16" t="n">
        <f aca="false">FoodCostTotal</f>
        <v>38171.304</v>
      </c>
      <c r="D7" s="16" t="n">
        <f aca="false">SUMIF('Actual Cost Entry'!$D:$D,B7,'Actual Cost Entry'!$H:$H)</f>
        <v>176500</v>
      </c>
      <c r="E7" s="45" t="n">
        <f aca="false">D7-C7</f>
        <v>138328.696</v>
      </c>
      <c r="F7" s="17" t="n">
        <f aca="false">IF(C7=0,0,E7/C7)</f>
        <v>3.62389233545702</v>
      </c>
      <c r="G7" s="46" t="str">
        <f aca="false">IF(F7&lt;-0.05,"Under Budget",IF(F7&lt;=0.05,"On Budget","Over Budget"))</f>
        <v>Over Budget</v>
      </c>
      <c r="H7" s="47"/>
    </row>
    <row r="8" customFormat="false" ht="15" hidden="false" customHeight="false" outlineLevel="0" collapsed="false">
      <c r="B8" s="15" t="s">
        <v>369</v>
      </c>
      <c r="C8" s="16" t="n">
        <f aca="false">CoffeeCostTotal</f>
        <v>50420</v>
      </c>
      <c r="D8" s="16" t="n">
        <f aca="false">SUMIF('Actual Cost Entry'!$D:$D,B8,'Actual Cost Entry'!$H:$H)</f>
        <v>14200</v>
      </c>
      <c r="E8" s="45" t="n">
        <f aca="false">D8-C8</f>
        <v>-36220</v>
      </c>
      <c r="F8" s="17" t="n">
        <f aca="false">IF(C8=0,0,E8/C8)</f>
        <v>-0.71836572788576</v>
      </c>
      <c r="G8" s="46" t="str">
        <f aca="false">IF(F8&lt;-0.05,"Under Budget",IF(F8&lt;=0.05,"On Budget","Over Budget"))</f>
        <v>Under Budget</v>
      </c>
      <c r="H8" s="47"/>
    </row>
    <row r="9" customFormat="false" ht="15" hidden="false" customHeight="false" outlineLevel="0" collapsed="false">
      <c r="B9" s="15" t="s">
        <v>378</v>
      </c>
      <c r="C9" s="16" t="n">
        <f aca="false">BarCostTotal</f>
        <v>76780</v>
      </c>
      <c r="D9" s="16" t="n">
        <f aca="false">SUMIF('Actual Cost Entry'!$D:$D,B9,'Actual Cost Entry'!$H:$H)</f>
        <v>0</v>
      </c>
      <c r="E9" s="45" t="n">
        <f aca="false">D9-C9</f>
        <v>-76780</v>
      </c>
      <c r="F9" s="17" t="n">
        <f aca="false">IF(C9=0,0,E9/C9)</f>
        <v>-1</v>
      </c>
      <c r="G9" s="46" t="str">
        <f aca="false">IF(F9&lt;-0.05,"Under Budget",IF(F9&lt;=0.05,"On Budget","Over Budget"))</f>
        <v>Under Budget</v>
      </c>
      <c r="H9" s="47"/>
    </row>
    <row r="10" customFormat="false" ht="15" hidden="false" customHeight="false" outlineLevel="0" collapsed="false">
      <c r="B10" s="15" t="s">
        <v>63</v>
      </c>
      <c r="C10" s="16" t="n">
        <f aca="false">MiscCostTotal</f>
        <v>54500</v>
      </c>
      <c r="D10" s="16" t="n">
        <f aca="false">SUMIF('Actual Cost Entry'!$D:$D,B10,'Actual Cost Entry'!$H:$H)</f>
        <v>0</v>
      </c>
      <c r="E10" s="45" t="n">
        <f aca="false">D10-C10</f>
        <v>-54500</v>
      </c>
      <c r="F10" s="17" t="n">
        <f aca="false">IF(C10=0,0,E10/C10)</f>
        <v>-1</v>
      </c>
      <c r="G10" s="46" t="str">
        <f aca="false">IF(F10&lt;-0.05,"Under Budget",IF(F10&lt;=0.05,"On Budget","Over Budget"))</f>
        <v>Under Budget</v>
      </c>
      <c r="H10" s="47"/>
    </row>
    <row r="11" customFormat="false" ht="15" hidden="false" customHeight="false" outlineLevel="0" collapsed="false">
      <c r="B11" s="15" t="s">
        <v>65</v>
      </c>
      <c r="C11" s="16" t="n">
        <f aca="false">ChefCostTotal</f>
        <v>117900</v>
      </c>
      <c r="D11" s="16" t="n">
        <f aca="false">SUMIF('Actual Cost Entry'!$D:$D,B11,'Actual Cost Entry'!$H:$H)</f>
        <v>0</v>
      </c>
      <c r="E11" s="45" t="n">
        <f aca="false">D11-C11</f>
        <v>-117900</v>
      </c>
      <c r="F11" s="17" t="n">
        <f aca="false">IF(C11=0,0,E11/C11)</f>
        <v>-1</v>
      </c>
      <c r="G11" s="46" t="str">
        <f aca="false">IF(F11&lt;-0.05,"Under Budget",IF(F11&lt;=0.05,"On Budget","Over Budget"))</f>
        <v>Under Budget</v>
      </c>
      <c r="H11" s="47"/>
    </row>
    <row r="12" customFormat="false" ht="15" hidden="false" customHeight="false" outlineLevel="0" collapsed="false">
      <c r="B12" s="15" t="s">
        <v>363</v>
      </c>
      <c r="C12" s="16" t="n">
        <f aca="false">TransportCostTotal</f>
        <v>63735</v>
      </c>
      <c r="D12" s="16" t="n">
        <f aca="false">SUMIF('Actual Cost Entry'!$D:$D,B12,'Actual Cost Entry'!$H:$H)</f>
        <v>33500</v>
      </c>
      <c r="E12" s="45" t="n">
        <f aca="false">D12-C12</f>
        <v>-30235</v>
      </c>
      <c r="F12" s="17" t="n">
        <f aca="false">IF(C12=0,0,E12/C12)</f>
        <v>-0.47438613006982</v>
      </c>
      <c r="G12" s="46" t="str">
        <f aca="false">IF(F12&lt;-0.05,"Under Budget",IF(F12&lt;=0.05,"On Budget","Over Budget"))</f>
        <v>Under Budget</v>
      </c>
      <c r="H12" s="47"/>
    </row>
    <row r="14" customFormat="false" ht="19.5" hidden="false" customHeight="true" outlineLevel="0" collapsed="false">
      <c r="A14" s="3" t="s">
        <v>379</v>
      </c>
      <c r="B14" s="3"/>
      <c r="C14" s="3"/>
      <c r="D14" s="3"/>
      <c r="E14" s="3"/>
      <c r="F14" s="3"/>
      <c r="G14" s="3"/>
      <c r="H14" s="3"/>
    </row>
    <row r="15" customFormat="false" ht="15" hidden="false" customHeight="false" outlineLevel="0" collapsed="false">
      <c r="B15" s="24" t="s">
        <v>380</v>
      </c>
      <c r="C15" s="48" t="n">
        <f aca="false">SUM(C5:C12)</f>
        <v>744704.304</v>
      </c>
      <c r="D15" s="24"/>
      <c r="E15" s="24"/>
      <c r="F15" s="24"/>
      <c r="G15" s="24"/>
      <c r="H15" s="24"/>
    </row>
    <row r="16" customFormat="false" ht="15" hidden="false" customHeight="false" outlineLevel="0" collapsed="false">
      <c r="B16" s="24" t="s">
        <v>381</v>
      </c>
      <c r="C16" s="48" t="n">
        <f aca="false">SUM(D5:D12)</f>
        <v>498400</v>
      </c>
      <c r="D16" s="24"/>
      <c r="E16" s="24"/>
      <c r="F16" s="24"/>
      <c r="G16" s="24"/>
      <c r="H16" s="24"/>
    </row>
    <row r="17" customFormat="false" ht="15" hidden="false" customHeight="false" outlineLevel="0" collapsed="false">
      <c r="B17" s="24" t="s">
        <v>382</v>
      </c>
      <c r="C17" s="48" t="n">
        <f aca="false">C16-C15</f>
        <v>-246304.304</v>
      </c>
      <c r="D17" s="24"/>
      <c r="E17" s="24"/>
      <c r="F17" s="24"/>
      <c r="G17" s="24"/>
      <c r="H17" s="24"/>
    </row>
    <row r="18" customFormat="false" ht="15" hidden="false" customHeight="false" outlineLevel="0" collapsed="false">
      <c r="B18" s="24" t="s">
        <v>383</v>
      </c>
      <c r="C18" s="49" t="n">
        <f aca="false">IF(C15=0,0,C17/C15)</f>
        <v>-0.330741077602259</v>
      </c>
      <c r="D18" s="24"/>
      <c r="E18" s="24"/>
      <c r="F18" s="24"/>
      <c r="G18" s="24"/>
      <c r="H18" s="24"/>
    </row>
    <row r="19" customFormat="false" ht="15" hidden="false" customHeight="false" outlineLevel="0" collapsed="false">
      <c r="B19" s="24" t="s">
        <v>384</v>
      </c>
      <c r="C19" s="50" t="str">
        <f aca="false">IF(C18&lt;=-0.05,"Excellent",IF(C18&lt;=0.05,"Good","Poor"))</f>
        <v>Excellent</v>
      </c>
      <c r="D19" s="24"/>
      <c r="E19" s="24"/>
      <c r="F19" s="24"/>
      <c r="G19" s="24"/>
      <c r="H19" s="24"/>
    </row>
  </sheetData>
  <sheetProtection sheet="true" formatCells="false" formatColumns="false" formatRows="false" insertColumns="false" insertRows="false" deleteColumns="false" deleteRows="false" sort="false" autoFilter="false"/>
  <mergeCells count="3">
    <mergeCell ref="A1:H1"/>
    <mergeCell ref="A2:H2"/>
    <mergeCell ref="A14:H14"/>
  </mergeCells>
  <conditionalFormatting sqref="G5:G12">
    <cfRule type="cellIs" priority="2" operator="equal" aboveAverage="0" equalAverage="0" bottom="0" percent="0" rank="0" text="" dxfId="10">
      <formula>"Under Budget"</formula>
    </cfRule>
    <cfRule type="cellIs" priority="3" operator="equal" aboveAverage="0" equalAverage="0" bottom="0" percent="0" rank="0" text="" dxfId="11">
      <formula>"On Budget"</formula>
    </cfRule>
    <cfRule type="cellIs" priority="4" operator="equal" aboveAverage="0" equalAverage="0" bottom="0" percent="0" rank="0" text="" dxfId="12">
      <formula>"Over Budget"</formula>
    </cfRule>
  </conditionalFormatting>
  <conditionalFormatting sqref="F5:F12">
    <cfRule type="expression" priority="5" aboveAverage="0" equalAverage="0" bottom="0" percent="0" rank="0" text="" dxfId="10">
      <formula>F5&lt;-0.05</formula>
    </cfRule>
    <cfRule type="expression" priority="6" aboveAverage="0" equalAverage="0" bottom="0" percent="0" rank="0" text="" dxfId="11">
      <formula>AND(F5&gt;=-0.05,F5&lt;=0.05)</formula>
    </cfRule>
    <cfRule type="expression" priority="7" aboveAverage="0" equalAverage="0" bottom="0" percent="0" rank="0" text="" dxfId="12">
      <formula>F5&gt;0.05</formula>
    </cfRule>
  </conditionalFormatting>
  <conditionalFormatting sqref="C19">
    <cfRule type="cellIs" priority="8" operator="equal" aboveAverage="0" equalAverage="0" bottom="0" percent="0" rank="0" text="" dxfId="10">
      <formula>"Excellent"</formula>
    </cfRule>
    <cfRule type="cellIs" priority="9" operator="equal" aboveAverage="0" equalAverage="0" bottom="0" percent="0" rank="0" text="" dxfId="11">
      <formula>"Good"</formula>
    </cfRule>
    <cfRule type="cellIs" priority="10" operator="equal" aboveAverage="0" equalAverage="0" bottom="0" percent="0" rank="0" text="" dxfId="12">
      <formula>"Poor"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10"/>
    <col collapsed="false" customWidth="true" hidden="false" outlineLevel="0" max="4" min="4" style="0" width="14"/>
    <col collapsed="false" customWidth="true" hidden="false" outlineLevel="0" max="5" min="5" style="0" width="20"/>
    <col collapsed="false" customWidth="true" hidden="false" outlineLevel="0" max="6" min="6" style="0" width="14"/>
    <col collapsed="false" customWidth="true" hidden="false" outlineLevel="0" max="7" min="7" style="0" width="30"/>
  </cols>
  <sheetData>
    <row r="1" customFormat="false" ht="24" hidden="false" customHeight="true" outlineLevel="0" collapsed="false">
      <c r="A1" s="1" t="s">
        <v>385</v>
      </c>
      <c r="B1" s="1"/>
      <c r="C1" s="1"/>
      <c r="D1" s="1"/>
      <c r="E1" s="1"/>
      <c r="F1" s="1"/>
      <c r="G1" s="1"/>
    </row>
    <row r="2" customFormat="false" ht="15.75" hidden="false" customHeight="true" outlineLevel="0" collapsed="false">
      <c r="A2" s="2" t="s">
        <v>386</v>
      </c>
      <c r="B2" s="2"/>
      <c r="C2" s="2"/>
      <c r="D2" s="2"/>
      <c r="E2" s="2"/>
      <c r="F2" s="2"/>
      <c r="G2" s="2"/>
    </row>
    <row r="4" customFormat="false" ht="19.5" hidden="false" customHeight="true" outlineLevel="0" collapsed="false">
      <c r="A4" s="3" t="s">
        <v>387</v>
      </c>
      <c r="B4" s="3"/>
      <c r="C4" s="3"/>
      <c r="D4" s="3"/>
      <c r="E4" s="3"/>
      <c r="F4" s="3"/>
      <c r="G4" s="3"/>
    </row>
    <row r="5" customFormat="false" ht="30" hidden="false" customHeight="true" outlineLevel="0" collapsed="false">
      <c r="A5" s="14" t="s">
        <v>235</v>
      </c>
      <c r="B5" s="14" t="s">
        <v>214</v>
      </c>
      <c r="C5" s="14" t="s">
        <v>173</v>
      </c>
      <c r="D5" s="14" t="s">
        <v>388</v>
      </c>
      <c r="E5" s="14" t="s">
        <v>389</v>
      </c>
      <c r="F5" s="14" t="s">
        <v>390</v>
      </c>
      <c r="G5" s="14" t="s">
        <v>52</v>
      </c>
    </row>
    <row r="6" customFormat="false" ht="15" hidden="false" customHeight="false" outlineLevel="0" collapsed="false">
      <c r="A6" s="33" t="s">
        <v>357</v>
      </c>
      <c r="B6" s="33" t="s">
        <v>94</v>
      </c>
      <c r="C6" s="33" t="s">
        <v>391</v>
      </c>
      <c r="D6" s="36" t="n">
        <v>2500</v>
      </c>
      <c r="E6" s="33" t="s">
        <v>163</v>
      </c>
      <c r="F6" s="44" t="s">
        <v>392</v>
      </c>
      <c r="G6" s="33" t="s">
        <v>393</v>
      </c>
    </row>
    <row r="7" customFormat="false" ht="15" hidden="false" customHeight="false" outlineLevel="0" collapsed="false">
      <c r="A7" s="33" t="s">
        <v>357</v>
      </c>
      <c r="B7" s="33" t="s">
        <v>97</v>
      </c>
      <c r="C7" s="33" t="s">
        <v>391</v>
      </c>
      <c r="D7" s="36" t="n">
        <v>2200</v>
      </c>
      <c r="E7" s="33" t="s">
        <v>163</v>
      </c>
      <c r="F7" s="44" t="s">
        <v>392</v>
      </c>
      <c r="G7" s="33"/>
    </row>
    <row r="8" customFormat="false" ht="15" hidden="false" customHeight="false" outlineLevel="0" collapsed="false">
      <c r="A8" s="33" t="s">
        <v>357</v>
      </c>
      <c r="B8" s="33" t="s">
        <v>99</v>
      </c>
      <c r="C8" s="33" t="s">
        <v>391</v>
      </c>
      <c r="D8" s="36" t="n">
        <v>1200</v>
      </c>
      <c r="E8" s="33" t="s">
        <v>163</v>
      </c>
      <c r="F8" s="44" t="s">
        <v>392</v>
      </c>
      <c r="G8" s="33"/>
    </row>
    <row r="9" customFormat="false" ht="15" hidden="false" customHeight="false" outlineLevel="0" collapsed="false">
      <c r="A9" s="33" t="s">
        <v>357</v>
      </c>
      <c r="B9" s="33" t="s">
        <v>103</v>
      </c>
      <c r="C9" s="33" t="s">
        <v>391</v>
      </c>
      <c r="D9" s="36" t="n">
        <v>1000</v>
      </c>
      <c r="E9" s="33" t="s">
        <v>163</v>
      </c>
      <c r="F9" s="44" t="s">
        <v>392</v>
      </c>
      <c r="G9" s="33"/>
    </row>
    <row r="10" customFormat="false" ht="15" hidden="false" customHeight="false" outlineLevel="0" collapsed="false">
      <c r="A10" s="33" t="s">
        <v>357</v>
      </c>
      <c r="B10" s="33" t="s">
        <v>105</v>
      </c>
      <c r="C10" s="33" t="s">
        <v>391</v>
      </c>
      <c r="D10" s="36" t="n">
        <v>1100</v>
      </c>
      <c r="E10" s="33" t="s">
        <v>163</v>
      </c>
      <c r="F10" s="44" t="s">
        <v>392</v>
      </c>
      <c r="G10" s="33"/>
    </row>
    <row r="11" customFormat="false" ht="15" hidden="false" customHeight="false" outlineLevel="0" collapsed="false">
      <c r="A11" s="33" t="s">
        <v>357</v>
      </c>
      <c r="B11" s="33" t="s">
        <v>116</v>
      </c>
      <c r="C11" s="33" t="s">
        <v>391</v>
      </c>
      <c r="D11" s="36" t="n">
        <v>1000</v>
      </c>
      <c r="E11" s="33" t="s">
        <v>163</v>
      </c>
      <c r="F11" s="44" t="s">
        <v>392</v>
      </c>
      <c r="G11" s="33"/>
    </row>
    <row r="13" customFormat="false" ht="19.5" hidden="false" customHeight="true" outlineLevel="0" collapsed="false">
      <c r="A13" s="3" t="s">
        <v>394</v>
      </c>
      <c r="B13" s="3"/>
      <c r="C13" s="3"/>
      <c r="D13" s="3"/>
      <c r="E13" s="3"/>
      <c r="F13" s="3"/>
      <c r="G13" s="3"/>
    </row>
    <row r="14" customFormat="false" ht="30" hidden="false" customHeight="true" outlineLevel="0" collapsed="false">
      <c r="A14" s="14" t="s">
        <v>235</v>
      </c>
      <c r="B14" s="14" t="s">
        <v>214</v>
      </c>
      <c r="C14" s="14" t="s">
        <v>173</v>
      </c>
      <c r="D14" s="14" t="s">
        <v>388</v>
      </c>
      <c r="E14" s="14" t="s">
        <v>389</v>
      </c>
      <c r="F14" s="14" t="s">
        <v>390</v>
      </c>
      <c r="G14" s="14" t="s">
        <v>52</v>
      </c>
    </row>
    <row r="15" customFormat="false" ht="15" hidden="false" customHeight="false" outlineLevel="0" collapsed="false">
      <c r="A15" s="33" t="s">
        <v>395</v>
      </c>
      <c r="B15" s="33" t="s">
        <v>292</v>
      </c>
      <c r="C15" s="33" t="s">
        <v>391</v>
      </c>
      <c r="D15" s="36" t="n">
        <v>6000</v>
      </c>
      <c r="E15" s="33" t="s">
        <v>163</v>
      </c>
      <c r="F15" s="44" t="s">
        <v>392</v>
      </c>
      <c r="G15" s="33"/>
    </row>
    <row r="16" customFormat="false" ht="15" hidden="false" customHeight="false" outlineLevel="0" collapsed="false">
      <c r="A16" s="33" t="s">
        <v>395</v>
      </c>
      <c r="B16" s="33" t="s">
        <v>293</v>
      </c>
      <c r="C16" s="33" t="s">
        <v>391</v>
      </c>
      <c r="D16" s="36" t="n">
        <v>4000</v>
      </c>
      <c r="E16" s="33" t="s">
        <v>163</v>
      </c>
      <c r="F16" s="44" t="s">
        <v>392</v>
      </c>
      <c r="G16" s="33"/>
    </row>
    <row r="17" customFormat="false" ht="15" hidden="false" customHeight="false" outlineLevel="0" collapsed="false">
      <c r="A17" s="33" t="s">
        <v>395</v>
      </c>
      <c r="B17" s="33" t="s">
        <v>294</v>
      </c>
      <c r="C17" s="33" t="s">
        <v>391</v>
      </c>
      <c r="D17" s="36" t="n">
        <v>3200</v>
      </c>
      <c r="E17" s="33" t="s">
        <v>163</v>
      </c>
      <c r="F17" s="44" t="s">
        <v>392</v>
      </c>
      <c r="G17" s="33"/>
    </row>
    <row r="18" customFormat="false" ht="15" hidden="false" customHeight="false" outlineLevel="0" collapsed="false">
      <c r="A18" s="33" t="s">
        <v>395</v>
      </c>
      <c r="B18" s="33" t="s">
        <v>295</v>
      </c>
      <c r="C18" s="33" t="s">
        <v>391</v>
      </c>
      <c r="D18" s="36" t="n">
        <v>1600</v>
      </c>
      <c r="E18" s="33" t="s">
        <v>163</v>
      </c>
      <c r="F18" s="44" t="s">
        <v>392</v>
      </c>
      <c r="G18" s="33"/>
    </row>
    <row r="19" customFormat="false" ht="15" hidden="false" customHeight="false" outlineLevel="0" collapsed="false">
      <c r="A19" s="33" t="s">
        <v>395</v>
      </c>
      <c r="B19" s="33" t="s">
        <v>296</v>
      </c>
      <c r="C19" s="33" t="s">
        <v>391</v>
      </c>
      <c r="D19" s="36" t="n">
        <v>2800</v>
      </c>
      <c r="E19" s="33" t="s">
        <v>163</v>
      </c>
      <c r="F19" s="44" t="s">
        <v>392</v>
      </c>
      <c r="G19" s="33"/>
    </row>
    <row r="21" customFormat="false" ht="19.5" hidden="false" customHeight="true" outlineLevel="0" collapsed="false">
      <c r="A21" s="3" t="s">
        <v>396</v>
      </c>
      <c r="B21" s="3"/>
      <c r="C21" s="3"/>
      <c r="D21" s="3"/>
      <c r="E21" s="3"/>
      <c r="F21" s="3"/>
      <c r="G21" s="3"/>
    </row>
    <row r="22" customFormat="false" ht="30" hidden="false" customHeight="true" outlineLevel="0" collapsed="false">
      <c r="A22" s="14" t="s">
        <v>235</v>
      </c>
      <c r="B22" s="14" t="s">
        <v>214</v>
      </c>
      <c r="C22" s="14" t="s">
        <v>173</v>
      </c>
      <c r="D22" s="14" t="s">
        <v>388</v>
      </c>
      <c r="E22" s="14" t="s">
        <v>389</v>
      </c>
      <c r="F22" s="14" t="s">
        <v>390</v>
      </c>
      <c r="G22" s="14" t="s">
        <v>52</v>
      </c>
    </row>
    <row r="23" customFormat="false" ht="20.85" hidden="false" customHeight="false" outlineLevel="0" collapsed="false">
      <c r="A23" s="33" t="s">
        <v>128</v>
      </c>
      <c r="B23" s="33" t="s">
        <v>129</v>
      </c>
      <c r="C23" s="33" t="s">
        <v>397</v>
      </c>
      <c r="D23" s="36" t="n">
        <v>45</v>
      </c>
      <c r="E23" s="33" t="s">
        <v>131</v>
      </c>
      <c r="F23" s="44" t="s">
        <v>392</v>
      </c>
      <c r="G23" s="33"/>
    </row>
    <row r="24" customFormat="false" ht="20.85" hidden="false" customHeight="false" outlineLevel="0" collapsed="false">
      <c r="A24" s="33" t="s">
        <v>132</v>
      </c>
      <c r="B24" s="33" t="s">
        <v>133</v>
      </c>
      <c r="C24" s="33" t="s">
        <v>397</v>
      </c>
      <c r="D24" s="36" t="n">
        <v>20</v>
      </c>
      <c r="E24" s="33" t="s">
        <v>131</v>
      </c>
      <c r="F24" s="44" t="s">
        <v>392</v>
      </c>
      <c r="G24" s="33"/>
    </row>
    <row r="25" customFormat="false" ht="20.85" hidden="false" customHeight="false" outlineLevel="0" collapsed="false">
      <c r="A25" s="33" t="s">
        <v>135</v>
      </c>
      <c r="B25" s="33" t="s">
        <v>136</v>
      </c>
      <c r="C25" s="33" t="s">
        <v>397</v>
      </c>
      <c r="D25" s="36" t="n">
        <v>25</v>
      </c>
      <c r="E25" s="33" t="s">
        <v>131</v>
      </c>
      <c r="F25" s="44" t="s">
        <v>392</v>
      </c>
      <c r="G25" s="33"/>
    </row>
    <row r="26" customFormat="false" ht="15" hidden="false" customHeight="false" outlineLevel="0" collapsed="false">
      <c r="A26" s="33" t="s">
        <v>145</v>
      </c>
      <c r="B26" s="33" t="s">
        <v>398</v>
      </c>
      <c r="C26" s="33" t="s">
        <v>399</v>
      </c>
      <c r="D26" s="36" t="n">
        <v>350</v>
      </c>
      <c r="E26" s="33" t="s">
        <v>131</v>
      </c>
      <c r="F26" s="44" t="s">
        <v>392</v>
      </c>
      <c r="G26" s="33"/>
    </row>
    <row r="28" customFormat="false" ht="19.5" hidden="false" customHeight="true" outlineLevel="0" collapsed="false">
      <c r="A28" s="3" t="s">
        <v>400</v>
      </c>
      <c r="B28" s="3"/>
      <c r="C28" s="3"/>
      <c r="D28" s="3"/>
      <c r="E28" s="3"/>
      <c r="F28" s="3"/>
      <c r="G28" s="3"/>
    </row>
    <row r="29" customFormat="false" ht="30" hidden="false" customHeight="true" outlineLevel="0" collapsed="false">
      <c r="A29" s="14" t="s">
        <v>235</v>
      </c>
      <c r="B29" s="14" t="s">
        <v>214</v>
      </c>
      <c r="C29" s="14" t="s">
        <v>173</v>
      </c>
      <c r="D29" s="14" t="s">
        <v>388</v>
      </c>
      <c r="E29" s="14" t="s">
        <v>389</v>
      </c>
      <c r="F29" s="14" t="s">
        <v>390</v>
      </c>
      <c r="G29" s="14" t="s">
        <v>52</v>
      </c>
    </row>
    <row r="30" customFormat="false" ht="15" hidden="false" customHeight="false" outlineLevel="0" collapsed="false">
      <c r="A30" s="33" t="s">
        <v>181</v>
      </c>
      <c r="B30" s="33" t="s">
        <v>182</v>
      </c>
      <c r="C30" s="33" t="s">
        <v>183</v>
      </c>
      <c r="D30" s="36" t="n">
        <v>380</v>
      </c>
      <c r="E30" s="33" t="s">
        <v>348</v>
      </c>
      <c r="F30" s="44" t="s">
        <v>392</v>
      </c>
      <c r="G30" s="33"/>
    </row>
    <row r="31" customFormat="false" ht="15" hidden="false" customHeight="false" outlineLevel="0" collapsed="false">
      <c r="A31" s="33" t="s">
        <v>181</v>
      </c>
      <c r="B31" s="33" t="s">
        <v>192</v>
      </c>
      <c r="C31" s="33" t="s">
        <v>183</v>
      </c>
      <c r="D31" s="36" t="n">
        <v>450</v>
      </c>
      <c r="E31" s="33" t="s">
        <v>348</v>
      </c>
      <c r="F31" s="44" t="s">
        <v>392</v>
      </c>
      <c r="G31" s="33"/>
    </row>
    <row r="32" customFormat="false" ht="15" hidden="false" customHeight="false" outlineLevel="0" collapsed="false">
      <c r="A32" s="33" t="s">
        <v>190</v>
      </c>
      <c r="B32" s="33" t="s">
        <v>191</v>
      </c>
      <c r="C32" s="33" t="s">
        <v>183</v>
      </c>
      <c r="D32" s="36" t="n">
        <v>180</v>
      </c>
      <c r="E32" s="33" t="s">
        <v>401</v>
      </c>
      <c r="F32" s="44" t="s">
        <v>392</v>
      </c>
      <c r="G32" s="33"/>
    </row>
    <row r="33" customFormat="false" ht="15" hidden="false" customHeight="false" outlineLevel="0" collapsed="false">
      <c r="A33" s="33" t="s">
        <v>190</v>
      </c>
      <c r="B33" s="33" t="s">
        <v>205</v>
      </c>
      <c r="C33" s="33" t="s">
        <v>183</v>
      </c>
      <c r="D33" s="36" t="n">
        <v>55</v>
      </c>
      <c r="E33" s="33" t="s">
        <v>401</v>
      </c>
      <c r="F33" s="44" t="s">
        <v>392</v>
      </c>
      <c r="G33" s="33"/>
    </row>
    <row r="34" customFormat="false" ht="15" hidden="false" customHeight="false" outlineLevel="0" collapsed="false">
      <c r="A34" s="33" t="s">
        <v>196</v>
      </c>
      <c r="B34" s="33" t="s">
        <v>197</v>
      </c>
      <c r="C34" s="33" t="s">
        <v>183</v>
      </c>
      <c r="D34" s="36" t="n">
        <v>45</v>
      </c>
      <c r="E34" s="33" t="s">
        <v>402</v>
      </c>
      <c r="F34" s="44" t="s">
        <v>392</v>
      </c>
      <c r="G34" s="33"/>
    </row>
    <row r="35" customFormat="false" ht="15" hidden="false" customHeight="false" outlineLevel="0" collapsed="false">
      <c r="A35" s="33" t="s">
        <v>186</v>
      </c>
      <c r="B35" s="33" t="s">
        <v>403</v>
      </c>
      <c r="C35" s="33" t="s">
        <v>183</v>
      </c>
      <c r="D35" s="36" t="n">
        <v>60</v>
      </c>
      <c r="E35" s="33" t="s">
        <v>348</v>
      </c>
      <c r="F35" s="44" t="s">
        <v>392</v>
      </c>
      <c r="G35" s="33"/>
    </row>
    <row r="37" customFormat="false" ht="19.5" hidden="false" customHeight="true" outlineLevel="0" collapsed="false">
      <c r="A37" s="3" t="s">
        <v>404</v>
      </c>
      <c r="B37" s="3"/>
      <c r="C37" s="3"/>
      <c r="D37" s="3"/>
      <c r="E37" s="3"/>
      <c r="F37" s="3"/>
      <c r="G37" s="3"/>
    </row>
    <row r="38" customFormat="false" ht="30" hidden="false" customHeight="true" outlineLevel="0" collapsed="false">
      <c r="A38" s="14" t="s">
        <v>235</v>
      </c>
      <c r="B38" s="14" t="s">
        <v>214</v>
      </c>
      <c r="C38" s="14" t="s">
        <v>173</v>
      </c>
      <c r="D38" s="14" t="s">
        <v>388</v>
      </c>
      <c r="E38" s="14" t="s">
        <v>389</v>
      </c>
      <c r="F38" s="14" t="s">
        <v>390</v>
      </c>
      <c r="G38" s="14" t="s">
        <v>52</v>
      </c>
    </row>
    <row r="39" customFormat="false" ht="15" hidden="false" customHeight="false" outlineLevel="0" collapsed="false">
      <c r="A39" s="33" t="s">
        <v>215</v>
      </c>
      <c r="B39" s="33" t="s">
        <v>216</v>
      </c>
      <c r="C39" s="33" t="s">
        <v>183</v>
      </c>
      <c r="D39" s="36" t="n">
        <v>950</v>
      </c>
      <c r="E39" s="33" t="s">
        <v>367</v>
      </c>
      <c r="F39" s="44" t="s">
        <v>392</v>
      </c>
      <c r="G39" s="33"/>
    </row>
    <row r="40" customFormat="false" ht="15" hidden="false" customHeight="false" outlineLevel="0" collapsed="false">
      <c r="A40" s="33" t="s">
        <v>215</v>
      </c>
      <c r="B40" s="33" t="s">
        <v>217</v>
      </c>
      <c r="C40" s="33" t="s">
        <v>218</v>
      </c>
      <c r="D40" s="36" t="n">
        <v>62</v>
      </c>
      <c r="E40" s="33" t="s">
        <v>348</v>
      </c>
      <c r="F40" s="44" t="s">
        <v>392</v>
      </c>
      <c r="G40" s="33"/>
    </row>
    <row r="41" customFormat="false" ht="15" hidden="false" customHeight="false" outlineLevel="0" collapsed="false">
      <c r="A41" s="33" t="s">
        <v>228</v>
      </c>
      <c r="B41" s="33" t="s">
        <v>229</v>
      </c>
      <c r="C41" s="33" t="s">
        <v>405</v>
      </c>
      <c r="D41" s="36" t="n">
        <v>3500</v>
      </c>
      <c r="E41" s="33" t="s">
        <v>367</v>
      </c>
      <c r="F41" s="44" t="s">
        <v>392</v>
      </c>
      <c r="G41" s="33"/>
    </row>
    <row r="42" customFormat="false" ht="15" hidden="false" customHeight="false" outlineLevel="0" collapsed="false">
      <c r="A42" s="33" t="s">
        <v>225</v>
      </c>
      <c r="B42" s="33" t="s">
        <v>226</v>
      </c>
      <c r="C42" s="33" t="s">
        <v>391</v>
      </c>
      <c r="D42" s="36" t="n">
        <v>2200</v>
      </c>
      <c r="E42" s="33" t="s">
        <v>367</v>
      </c>
      <c r="F42" s="44" t="s">
        <v>392</v>
      </c>
      <c r="G42" s="33"/>
    </row>
    <row r="44" customFormat="false" ht="19.5" hidden="false" customHeight="true" outlineLevel="0" collapsed="false">
      <c r="A44" s="3" t="s">
        <v>406</v>
      </c>
      <c r="B44" s="3"/>
      <c r="C44" s="3"/>
      <c r="D44" s="3"/>
      <c r="E44" s="3"/>
      <c r="F44" s="3"/>
      <c r="G44" s="3"/>
    </row>
    <row r="45" customFormat="false" ht="30" hidden="false" customHeight="true" outlineLevel="0" collapsed="false">
      <c r="A45" s="14" t="s">
        <v>235</v>
      </c>
      <c r="B45" s="14" t="s">
        <v>214</v>
      </c>
      <c r="C45" s="14" t="s">
        <v>173</v>
      </c>
      <c r="D45" s="14" t="s">
        <v>388</v>
      </c>
      <c r="E45" s="14" t="s">
        <v>389</v>
      </c>
      <c r="F45" s="14" t="s">
        <v>390</v>
      </c>
      <c r="G45" s="14" t="s">
        <v>52</v>
      </c>
    </row>
    <row r="46" customFormat="false" ht="15" hidden="false" customHeight="false" outlineLevel="0" collapsed="false">
      <c r="A46" s="33" t="s">
        <v>238</v>
      </c>
      <c r="B46" s="33" t="s">
        <v>239</v>
      </c>
      <c r="C46" s="33" t="s">
        <v>218</v>
      </c>
      <c r="D46" s="36" t="n">
        <v>140</v>
      </c>
      <c r="E46" s="33" t="s">
        <v>348</v>
      </c>
      <c r="F46" s="44" t="s">
        <v>392</v>
      </c>
      <c r="G46" s="33"/>
    </row>
    <row r="47" customFormat="false" ht="15" hidden="false" customHeight="false" outlineLevel="0" collapsed="false">
      <c r="A47" s="33" t="s">
        <v>248</v>
      </c>
      <c r="B47" s="33" t="s">
        <v>248</v>
      </c>
      <c r="C47" s="33" t="s">
        <v>183</v>
      </c>
      <c r="D47" s="36" t="n">
        <v>15</v>
      </c>
      <c r="E47" s="33" t="s">
        <v>407</v>
      </c>
      <c r="F47" s="44" t="s">
        <v>392</v>
      </c>
      <c r="G47" s="33"/>
    </row>
    <row r="48" customFormat="false" ht="15" hidden="false" customHeight="false" outlineLevel="0" collapsed="false">
      <c r="A48" s="33" t="s">
        <v>252</v>
      </c>
      <c r="B48" s="33" t="s">
        <v>252</v>
      </c>
      <c r="C48" s="33" t="s">
        <v>391</v>
      </c>
      <c r="D48" s="36" t="n">
        <v>2200</v>
      </c>
      <c r="E48" s="33" t="s">
        <v>408</v>
      </c>
      <c r="F48" s="44" t="s">
        <v>392</v>
      </c>
      <c r="G48" s="33" t="s">
        <v>409</v>
      </c>
    </row>
    <row r="49" customFormat="false" ht="15" hidden="false" customHeight="false" outlineLevel="0" collapsed="false">
      <c r="A49" s="33" t="s">
        <v>135</v>
      </c>
      <c r="B49" s="33" t="s">
        <v>249</v>
      </c>
      <c r="C49" s="33" t="s">
        <v>410</v>
      </c>
      <c r="D49" s="36" t="n">
        <v>20</v>
      </c>
      <c r="E49" s="33" t="s">
        <v>131</v>
      </c>
      <c r="F49" s="44" t="s">
        <v>392</v>
      </c>
      <c r="G49" s="33"/>
    </row>
    <row r="51" customFormat="false" ht="19.5" hidden="false" customHeight="true" outlineLevel="0" collapsed="false">
      <c r="A51" s="3" t="s">
        <v>411</v>
      </c>
      <c r="B51" s="3"/>
      <c r="C51" s="3"/>
      <c r="D51" s="3"/>
      <c r="E51" s="3"/>
      <c r="F51" s="3"/>
      <c r="G51" s="3"/>
    </row>
    <row r="52" customFormat="false" ht="30" hidden="false" customHeight="true" outlineLevel="0" collapsed="false">
      <c r="A52" s="14" t="s">
        <v>235</v>
      </c>
      <c r="B52" s="14" t="s">
        <v>214</v>
      </c>
      <c r="C52" s="14" t="s">
        <v>173</v>
      </c>
      <c r="D52" s="14" t="s">
        <v>388</v>
      </c>
      <c r="E52" s="14" t="s">
        <v>389</v>
      </c>
      <c r="F52" s="14" t="s">
        <v>390</v>
      </c>
      <c r="G52" s="14" t="s">
        <v>52</v>
      </c>
    </row>
    <row r="53" customFormat="false" ht="15" hidden="false" customHeight="false" outlineLevel="0" collapsed="false">
      <c r="A53" s="33" t="s">
        <v>412</v>
      </c>
      <c r="B53" s="33" t="s">
        <v>314</v>
      </c>
      <c r="C53" s="33" t="s">
        <v>413</v>
      </c>
      <c r="D53" s="36" t="n">
        <v>2500</v>
      </c>
      <c r="E53" s="33" t="s">
        <v>361</v>
      </c>
      <c r="F53" s="44" t="s">
        <v>392</v>
      </c>
      <c r="G53" s="33"/>
    </row>
    <row r="54" customFormat="false" ht="15" hidden="false" customHeight="false" outlineLevel="0" collapsed="false">
      <c r="A54" s="33" t="s">
        <v>412</v>
      </c>
      <c r="B54" s="33" t="s">
        <v>316</v>
      </c>
      <c r="C54" s="33" t="s">
        <v>413</v>
      </c>
      <c r="D54" s="36" t="n">
        <v>4500</v>
      </c>
      <c r="E54" s="33" t="s">
        <v>361</v>
      </c>
      <c r="F54" s="44" t="s">
        <v>392</v>
      </c>
      <c r="G54" s="33"/>
    </row>
    <row r="55" customFormat="false" ht="15" hidden="false" customHeight="false" outlineLevel="0" collapsed="false">
      <c r="A55" s="33" t="s">
        <v>412</v>
      </c>
      <c r="B55" s="33" t="s">
        <v>318</v>
      </c>
      <c r="C55" s="33" t="s">
        <v>413</v>
      </c>
      <c r="D55" s="36" t="n">
        <v>6000</v>
      </c>
      <c r="E55" s="33" t="s">
        <v>361</v>
      </c>
      <c r="F55" s="44" t="s">
        <v>392</v>
      </c>
      <c r="G55" s="33"/>
    </row>
    <row r="56" customFormat="false" ht="15" hidden="false" customHeight="false" outlineLevel="0" collapsed="false">
      <c r="A56" s="33" t="s">
        <v>412</v>
      </c>
      <c r="B56" s="33" t="s">
        <v>320</v>
      </c>
      <c r="C56" s="33" t="s">
        <v>413</v>
      </c>
      <c r="D56" s="36" t="n">
        <v>1800</v>
      </c>
      <c r="E56" s="33" t="s">
        <v>361</v>
      </c>
      <c r="F56" s="44" t="s">
        <v>392</v>
      </c>
      <c r="G56" s="33"/>
    </row>
    <row r="58" customFormat="false" ht="19.5" hidden="false" customHeight="true" outlineLevel="0" collapsed="false">
      <c r="A58" s="3" t="s">
        <v>414</v>
      </c>
      <c r="B58" s="3"/>
      <c r="C58" s="3"/>
      <c r="D58" s="3"/>
      <c r="E58" s="3"/>
      <c r="F58" s="3"/>
      <c r="G58" s="3"/>
    </row>
    <row r="59" customFormat="false" ht="30" hidden="false" customHeight="true" outlineLevel="0" collapsed="false">
      <c r="A59" s="14" t="s">
        <v>235</v>
      </c>
      <c r="B59" s="14" t="s">
        <v>214</v>
      </c>
      <c r="C59" s="14" t="s">
        <v>173</v>
      </c>
      <c r="D59" s="14" t="s">
        <v>388</v>
      </c>
      <c r="E59" s="14" t="s">
        <v>389</v>
      </c>
      <c r="F59" s="14" t="s">
        <v>390</v>
      </c>
      <c r="G59" s="14" t="s">
        <v>52</v>
      </c>
    </row>
    <row r="60" customFormat="false" ht="15" hidden="false" customHeight="false" outlineLevel="0" collapsed="false">
      <c r="A60" s="33" t="s">
        <v>263</v>
      </c>
      <c r="B60" s="33" t="s">
        <v>415</v>
      </c>
      <c r="C60" s="33" t="s">
        <v>416</v>
      </c>
      <c r="D60" s="36" t="n">
        <v>45</v>
      </c>
      <c r="E60" s="33" t="s">
        <v>417</v>
      </c>
      <c r="F60" s="44" t="s">
        <v>392</v>
      </c>
      <c r="G60" s="33"/>
    </row>
    <row r="61" customFormat="false" ht="15" hidden="false" customHeight="false" outlineLevel="0" collapsed="false">
      <c r="A61" s="33" t="s">
        <v>418</v>
      </c>
      <c r="B61" s="33" t="s">
        <v>419</v>
      </c>
      <c r="C61" s="33" t="s">
        <v>420</v>
      </c>
      <c r="D61" s="36" t="n">
        <v>2500</v>
      </c>
      <c r="E61" s="33" t="s">
        <v>421</v>
      </c>
      <c r="F61" s="44" t="s">
        <v>392</v>
      </c>
      <c r="G61" s="33"/>
    </row>
    <row r="62" customFormat="false" ht="15" hidden="false" customHeight="false" outlineLevel="0" collapsed="false">
      <c r="A62" s="33" t="s">
        <v>273</v>
      </c>
      <c r="B62" s="33" t="s">
        <v>422</v>
      </c>
      <c r="C62" s="33" t="s">
        <v>423</v>
      </c>
      <c r="D62" s="36" t="n">
        <v>3000</v>
      </c>
      <c r="E62" s="33" t="s">
        <v>421</v>
      </c>
      <c r="F62" s="44" t="s">
        <v>392</v>
      </c>
      <c r="G62" s="33"/>
    </row>
  </sheetData>
  <sheetProtection sheet="true" formatCells="false" formatColumns="false" formatRows="false" insertColumns="false" insertRows="false" deleteColumns="false" deleteRows="false" sort="false" autoFilter="false"/>
  <mergeCells count="10">
    <mergeCell ref="A1:G1"/>
    <mergeCell ref="A2:G2"/>
    <mergeCell ref="A4:G4"/>
    <mergeCell ref="A13:G13"/>
    <mergeCell ref="A21:G21"/>
    <mergeCell ref="A28:G28"/>
    <mergeCell ref="A37:G37"/>
    <mergeCell ref="A44:G44"/>
    <mergeCell ref="A51:G51"/>
    <mergeCell ref="A58:G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16" min="2" style="0" width="12"/>
  </cols>
  <sheetData>
    <row r="1" customFormat="false" ht="24" hidden="false" customHeight="true" outlineLevel="0" collapsed="false">
      <c r="A1" s="1" t="s">
        <v>424</v>
      </c>
      <c r="B1" s="1"/>
      <c r="C1" s="1"/>
      <c r="D1" s="1"/>
      <c r="E1" s="1"/>
      <c r="F1" s="1"/>
      <c r="G1" s="1"/>
      <c r="H1" s="1"/>
      <c r="I1" s="1"/>
      <c r="J1" s="1"/>
      <c r="K1" s="1"/>
      <c r="L1" s="1"/>
      <c r="M1" s="1"/>
      <c r="N1" s="1"/>
      <c r="O1" s="1"/>
      <c r="P1" s="1"/>
    </row>
    <row r="2" customFormat="false" ht="15.75" hidden="false" customHeight="true" outlineLevel="0" collapsed="false">
      <c r="A2" s="2" t="s">
        <v>425</v>
      </c>
      <c r="B2" s="2"/>
      <c r="C2" s="2"/>
      <c r="D2" s="2"/>
      <c r="E2" s="2"/>
      <c r="F2" s="2"/>
      <c r="G2" s="2"/>
      <c r="H2" s="2"/>
      <c r="I2" s="2"/>
      <c r="J2" s="2"/>
      <c r="K2" s="2"/>
      <c r="L2" s="2"/>
      <c r="M2" s="2"/>
      <c r="N2" s="2"/>
      <c r="O2" s="2"/>
      <c r="P2" s="2"/>
    </row>
    <row r="4" customFormat="false" ht="13.5" hidden="false" customHeight="true" outlineLevel="0" collapsed="false">
      <c r="B4" s="51" t="s">
        <v>426</v>
      </c>
      <c r="C4" s="51"/>
      <c r="D4" s="51"/>
      <c r="F4" s="51" t="s">
        <v>427</v>
      </c>
      <c r="G4" s="51"/>
      <c r="H4" s="51"/>
      <c r="J4" s="51" t="s">
        <v>428</v>
      </c>
      <c r="K4" s="51"/>
      <c r="L4" s="51"/>
      <c r="N4" s="51" t="s">
        <v>72</v>
      </c>
      <c r="O4" s="51"/>
      <c r="P4" s="51"/>
    </row>
    <row r="5" customFormat="false" ht="27.75" hidden="false" customHeight="true" outlineLevel="0" collapsed="false">
      <c r="B5" s="52" t="str">
        <f aca="false">ProjectName_</f>
        <v>The Grand Wedding Weekend</v>
      </c>
      <c r="C5" s="52"/>
      <c r="D5" s="52"/>
      <c r="F5" s="53" t="n">
        <f aca="false">EstimatedPax</f>
        <v>400</v>
      </c>
      <c r="G5" s="53"/>
      <c r="H5" s="53"/>
      <c r="J5" s="53" t="n">
        <f aca="false">CostingPax</f>
        <v>432</v>
      </c>
      <c r="K5" s="53"/>
      <c r="L5" s="53"/>
      <c r="N5" s="54" t="n">
        <f aca="false">TotalEstimatedBaseCost</f>
        <v>767045.43312</v>
      </c>
      <c r="O5" s="54"/>
      <c r="P5" s="54"/>
    </row>
    <row r="7" customFormat="false" ht="13.5" hidden="false" customHeight="true" outlineLevel="0" collapsed="false">
      <c r="B7" s="51" t="s">
        <v>429</v>
      </c>
      <c r="C7" s="51"/>
      <c r="D7" s="51"/>
      <c r="F7" s="51" t="s">
        <v>430</v>
      </c>
      <c r="G7" s="51"/>
      <c r="H7" s="51"/>
      <c r="J7" s="51" t="s">
        <v>431</v>
      </c>
      <c r="K7" s="51"/>
      <c r="L7" s="51"/>
      <c r="N7" s="51" t="s">
        <v>432</v>
      </c>
      <c r="O7" s="51"/>
      <c r="P7" s="51"/>
    </row>
    <row r="8" customFormat="false" ht="27.75" hidden="false" customHeight="true" outlineLevel="0" collapsed="false">
      <c r="B8" s="55" t="n">
        <f aca="false">EstimatedCostPerPax</f>
        <v>1775.56813222222</v>
      </c>
      <c r="C8" s="55"/>
      <c r="D8" s="55"/>
      <c r="F8" s="54" t="n">
        <f aca="false">FinalCommercialBeforeGST</f>
        <v>920454.519744</v>
      </c>
      <c r="G8" s="54"/>
      <c r="H8" s="54"/>
      <c r="J8" s="54" t="n">
        <f aca="false">FinalCommercialInclGST</f>
        <v>1086136.33329792</v>
      </c>
      <c r="K8" s="54"/>
      <c r="L8" s="54"/>
      <c r="N8" s="54" t="n">
        <f aca="false">TotalActualCost</f>
        <v>498400</v>
      </c>
      <c r="O8" s="54"/>
      <c r="P8" s="54"/>
    </row>
    <row r="10" customFormat="false" ht="13.5" hidden="false" customHeight="true" outlineLevel="0" collapsed="false">
      <c r="B10" s="51" t="s">
        <v>433</v>
      </c>
      <c r="C10" s="51"/>
      <c r="D10" s="51"/>
      <c r="F10" s="51" t="s">
        <v>434</v>
      </c>
      <c r="G10" s="51"/>
      <c r="H10" s="51"/>
      <c r="J10" s="51" t="s">
        <v>435</v>
      </c>
      <c r="K10" s="51"/>
      <c r="L10" s="51"/>
    </row>
    <row r="11" customFormat="false" ht="27.75" hidden="false" customHeight="true" outlineLevel="0" collapsed="false">
      <c r="B11" s="55" t="n">
        <f aca="false">IF(CostingPax=0,0,TotalActualCost/CostingPax)</f>
        <v>1153.7037037037</v>
      </c>
      <c r="C11" s="55"/>
      <c r="D11" s="55"/>
      <c r="F11" s="56" t="n">
        <f aca="false">OverallVariancePct</f>
        <v>-0.330741077602259</v>
      </c>
      <c r="G11" s="56"/>
      <c r="H11" s="56"/>
      <c r="J11" s="52" t="str">
        <f aca="false">FinalProjectMarking</f>
        <v>Excellent</v>
      </c>
      <c r="K11" s="52"/>
      <c r="L11" s="52"/>
    </row>
    <row r="14" customFormat="false" ht="19.5" hidden="false" customHeight="true" outlineLevel="0" collapsed="false">
      <c r="A14" s="3" t="s">
        <v>436</v>
      </c>
      <c r="B14" s="3"/>
      <c r="C14" s="3"/>
      <c r="D14" s="3"/>
      <c r="E14" s="3"/>
      <c r="F14" s="3"/>
      <c r="G14" s="3"/>
      <c r="H14" s="3"/>
      <c r="I14" s="3"/>
      <c r="J14" s="3"/>
      <c r="K14" s="3"/>
      <c r="L14" s="3"/>
      <c r="M14" s="3"/>
      <c r="N14" s="3"/>
      <c r="O14" s="3"/>
      <c r="P14" s="3"/>
    </row>
    <row r="15" customFormat="false" ht="30" hidden="false" customHeight="true" outlineLevel="0" collapsed="false">
      <c r="B15" s="14" t="s">
        <v>49</v>
      </c>
      <c r="C15" s="14" t="s">
        <v>50</v>
      </c>
      <c r="D15" s="14" t="s">
        <v>374</v>
      </c>
      <c r="E15" s="14" t="s">
        <v>437</v>
      </c>
    </row>
    <row r="16" customFormat="false" ht="15" hidden="false" customHeight="false" outlineLevel="0" collapsed="false">
      <c r="B16" s="4" t="s">
        <v>357</v>
      </c>
      <c r="C16" s="45" t="n">
        <f aca="false">'Estimate vs Actual'!C5</f>
        <v>117820</v>
      </c>
      <c r="D16" s="45" t="n">
        <f aca="false">'Estimate vs Actual'!D5</f>
        <v>228000</v>
      </c>
      <c r="E16" s="17" t="n">
        <f aca="false">C16/TotalEstimatedBaseCost</f>
        <v>0.15360237466086</v>
      </c>
    </row>
    <row r="17" customFormat="false" ht="15" hidden="false" customHeight="false" outlineLevel="0" collapsed="false">
      <c r="B17" s="4" t="s">
        <v>341</v>
      </c>
      <c r="C17" s="45" t="n">
        <f aca="false">'Estimate vs Actual'!C6</f>
        <v>225378</v>
      </c>
      <c r="D17" s="45" t="n">
        <f aca="false">'Estimate vs Actual'!D6</f>
        <v>46200</v>
      </c>
      <c r="E17" s="17" t="n">
        <f aca="false">C17/TotalEstimatedBaseCost</f>
        <v>0.293826141540616</v>
      </c>
    </row>
    <row r="18" customFormat="false" ht="15" hidden="false" customHeight="false" outlineLevel="0" collapsed="false">
      <c r="B18" s="4" t="s">
        <v>350</v>
      </c>
      <c r="C18" s="45" t="n">
        <f aca="false">'Estimate vs Actual'!C7</f>
        <v>38171.304</v>
      </c>
      <c r="D18" s="45" t="n">
        <f aca="false">'Estimate vs Actual'!D7</f>
        <v>176500</v>
      </c>
      <c r="E18" s="17" t="n">
        <f aca="false">C18/TotalEstimatedBaseCost</f>
        <v>0.0497640717900322</v>
      </c>
    </row>
    <row r="19" customFormat="false" ht="15" hidden="false" customHeight="false" outlineLevel="0" collapsed="false">
      <c r="B19" s="4" t="s">
        <v>369</v>
      </c>
      <c r="C19" s="45" t="n">
        <f aca="false">'Estimate vs Actual'!C8</f>
        <v>50420</v>
      </c>
      <c r="D19" s="45" t="n">
        <f aca="false">'Estimate vs Actual'!D8</f>
        <v>14200</v>
      </c>
      <c r="E19" s="17" t="n">
        <f aca="false">C19/TotalEstimatedBaseCost</f>
        <v>0.0657327425768169</v>
      </c>
    </row>
    <row r="20" customFormat="false" ht="15" hidden="false" customHeight="false" outlineLevel="0" collapsed="false">
      <c r="B20" s="4" t="s">
        <v>378</v>
      </c>
      <c r="C20" s="45" t="n">
        <f aca="false">'Estimate vs Actual'!C9</f>
        <v>76780</v>
      </c>
      <c r="D20" s="45" t="n">
        <f aca="false">'Estimate vs Actual'!D9</f>
        <v>0</v>
      </c>
      <c r="E20" s="17" t="n">
        <f aca="false">C20/TotalEstimatedBaseCost</f>
        <v>0.100098373166363</v>
      </c>
    </row>
    <row r="21" customFormat="false" ht="15" hidden="false" customHeight="false" outlineLevel="0" collapsed="false">
      <c r="B21" s="4" t="s">
        <v>63</v>
      </c>
      <c r="C21" s="45" t="n">
        <f aca="false">'Estimate vs Actual'!C10</f>
        <v>54500</v>
      </c>
      <c r="D21" s="45" t="n">
        <f aca="false">'Estimate vs Actual'!D10</f>
        <v>0</v>
      </c>
      <c r="E21" s="17" t="n">
        <f aca="false">C21/TotalEstimatedBaseCost</f>
        <v>0.0710518538365038</v>
      </c>
    </row>
    <row r="22" customFormat="false" ht="15" hidden="false" customHeight="false" outlineLevel="0" collapsed="false">
      <c r="B22" s="4" t="s">
        <v>65</v>
      </c>
      <c r="C22" s="45" t="n">
        <f aca="false">'Estimate vs Actual'!C11</f>
        <v>117900</v>
      </c>
      <c r="D22" s="45" t="n">
        <f aca="false">'Estimate vs Actual'!D11</f>
        <v>0</v>
      </c>
      <c r="E22" s="17" t="n">
        <f aca="false">C22/TotalEstimatedBaseCost</f>
        <v>0.15370667096007</v>
      </c>
    </row>
    <row r="23" customFormat="false" ht="15" hidden="false" customHeight="false" outlineLevel="0" collapsed="false">
      <c r="B23" s="4" t="s">
        <v>363</v>
      </c>
      <c r="C23" s="45" t="n">
        <f aca="false">'Estimate vs Actual'!C12</f>
        <v>63735</v>
      </c>
      <c r="D23" s="45" t="n">
        <f aca="false">'Estimate vs Actual'!D12</f>
        <v>33500</v>
      </c>
      <c r="E23" s="17" t="n">
        <f aca="false">C23/TotalEstimatedBaseCost</f>
        <v>0.0830915578765059</v>
      </c>
    </row>
  </sheetData>
  <sheetProtection sheet="true" formatCells="false" formatColumns="false" formatRows="false" insertColumns="false" insertRows="false" deleteColumns="false" deleteRows="false" sort="false" autoFilter="false"/>
  <mergeCells count="25">
    <mergeCell ref="A1:P1"/>
    <mergeCell ref="A2:P2"/>
    <mergeCell ref="B4:D4"/>
    <mergeCell ref="F4:H4"/>
    <mergeCell ref="J4:L4"/>
    <mergeCell ref="N4:P4"/>
    <mergeCell ref="B5:D5"/>
    <mergeCell ref="F5:H5"/>
    <mergeCell ref="J5:L5"/>
    <mergeCell ref="N5:P5"/>
    <mergeCell ref="B7:D7"/>
    <mergeCell ref="F7:H7"/>
    <mergeCell ref="J7:L7"/>
    <mergeCell ref="N7:P7"/>
    <mergeCell ref="B8:D8"/>
    <mergeCell ref="F8:H8"/>
    <mergeCell ref="J8:L8"/>
    <mergeCell ref="N8:P8"/>
    <mergeCell ref="B10:D10"/>
    <mergeCell ref="F10:H10"/>
    <mergeCell ref="J10:L10"/>
    <mergeCell ref="B11:D11"/>
    <mergeCell ref="F11:H11"/>
    <mergeCell ref="J11:L11"/>
    <mergeCell ref="A14:P14"/>
  </mergeCells>
  <conditionalFormatting sqref="J11:L11">
    <cfRule type="cellIs" priority="2" operator="equal" aboveAverage="0" equalAverage="0" bottom="0" percent="0" rank="0" text="" dxfId="10">
      <formula>"Excellent"</formula>
    </cfRule>
    <cfRule type="cellIs" priority="3" operator="equal" aboveAverage="0" equalAverage="0" bottom="0" percent="0" rank="0" text="" dxfId="11">
      <formula>"Good"</formula>
    </cfRule>
    <cfRule type="cellIs" priority="4" operator="equal" aboveAverage="0" equalAverage="0" bottom="0" percent="0" rank="0" text="" dxfId="12">
      <formula>"Poor"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B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92"/>
  </cols>
  <sheetData>
    <row r="1" customFormat="false" ht="24" hidden="false" customHeight="true" outlineLevel="0" collapsed="false">
      <c r="A1" s="1" t="s">
        <v>438</v>
      </c>
      <c r="B1" s="1"/>
    </row>
    <row r="2" customFormat="false" ht="15.75" hidden="false" customHeight="true" outlineLevel="0" collapsed="false">
      <c r="A2" s="2" t="s">
        <v>439</v>
      </c>
      <c r="B2" s="2"/>
    </row>
    <row r="4" customFormat="false" ht="19.5" hidden="false" customHeight="true" outlineLevel="0" collapsed="false">
      <c r="A4" s="3" t="s">
        <v>440</v>
      </c>
      <c r="B4" s="3"/>
    </row>
    <row r="5" customFormat="false" ht="30" hidden="false" customHeight="true" outlineLevel="0" collapsed="false">
      <c r="B5" s="57" t="s">
        <v>441</v>
      </c>
    </row>
    <row r="7" customFormat="false" ht="19.5" hidden="false" customHeight="true" outlineLevel="0" collapsed="false">
      <c r="A7" s="3" t="s">
        <v>442</v>
      </c>
      <c r="B7" s="3"/>
    </row>
    <row r="8" customFormat="false" ht="30" hidden="false" customHeight="true" outlineLevel="0" collapsed="false">
      <c r="B8" s="57" t="s">
        <v>443</v>
      </c>
    </row>
    <row r="9" customFormat="false" ht="30" hidden="false" customHeight="true" outlineLevel="0" collapsed="false">
      <c r="B9" s="57" t="s">
        <v>444</v>
      </c>
    </row>
    <row r="10" customFormat="false" ht="30" hidden="false" customHeight="true" outlineLevel="0" collapsed="false">
      <c r="B10" s="57" t="s">
        <v>445</v>
      </c>
    </row>
    <row r="12" customFormat="false" ht="19.5" hidden="false" customHeight="true" outlineLevel="0" collapsed="false">
      <c r="A12" s="3" t="s">
        <v>446</v>
      </c>
      <c r="B12" s="3"/>
    </row>
    <row r="13" customFormat="false" ht="30" hidden="false" customHeight="true" outlineLevel="0" collapsed="false">
      <c r="B13" s="57" t="s">
        <v>447</v>
      </c>
    </row>
    <row r="14" customFormat="false" ht="30" hidden="false" customHeight="true" outlineLevel="0" collapsed="false">
      <c r="B14" s="57" t="s">
        <v>448</v>
      </c>
    </row>
    <row r="15" customFormat="false" ht="30" hidden="false" customHeight="true" outlineLevel="0" collapsed="false">
      <c r="B15" s="57" t="s">
        <v>449</v>
      </c>
    </row>
    <row r="17" customFormat="false" ht="19.5" hidden="false" customHeight="true" outlineLevel="0" collapsed="false">
      <c r="A17" s="3" t="s">
        <v>450</v>
      </c>
      <c r="B17" s="3"/>
    </row>
    <row r="18" customFormat="false" ht="30" hidden="false" customHeight="true" outlineLevel="0" collapsed="false">
      <c r="B18" s="57" t="s">
        <v>451</v>
      </c>
    </row>
    <row r="20" customFormat="false" ht="19.5" hidden="false" customHeight="true" outlineLevel="0" collapsed="false">
      <c r="A20" s="3" t="s">
        <v>452</v>
      </c>
      <c r="B20" s="3"/>
    </row>
    <row r="21" customFormat="false" ht="30" hidden="false" customHeight="true" outlineLevel="0" collapsed="false">
      <c r="B21" s="57" t="s">
        <v>453</v>
      </c>
    </row>
    <row r="22" customFormat="false" ht="30" hidden="false" customHeight="true" outlineLevel="0" collapsed="false">
      <c r="B22" s="57" t="s">
        <v>454</v>
      </c>
    </row>
    <row r="24" customFormat="false" ht="19.5" hidden="false" customHeight="true" outlineLevel="0" collapsed="false">
      <c r="A24" s="3" t="s">
        <v>455</v>
      </c>
      <c r="B24" s="3"/>
    </row>
    <row r="25" customFormat="false" ht="30" hidden="false" customHeight="true" outlineLevel="0" collapsed="false">
      <c r="B25" s="57" t="s">
        <v>456</v>
      </c>
    </row>
    <row r="26" customFormat="false" ht="30" hidden="false" customHeight="true" outlineLevel="0" collapsed="false">
      <c r="B26" s="57" t="s">
        <v>457</v>
      </c>
    </row>
    <row r="28" customFormat="false" ht="19.5" hidden="false" customHeight="true" outlineLevel="0" collapsed="false">
      <c r="A28" s="3" t="s">
        <v>458</v>
      </c>
      <c r="B28" s="3"/>
    </row>
    <row r="29" customFormat="false" ht="30" hidden="false" customHeight="true" outlineLevel="0" collapsed="false">
      <c r="B29" s="57" t="s">
        <v>459</v>
      </c>
    </row>
    <row r="30" customFormat="false" ht="30" hidden="false" customHeight="true" outlineLevel="0" collapsed="false">
      <c r="B30" s="57" t="s">
        <v>460</v>
      </c>
    </row>
    <row r="31" customFormat="false" ht="30" hidden="false" customHeight="true" outlineLevel="0" collapsed="false">
      <c r="B31" s="57" t="s">
        <v>461</v>
      </c>
    </row>
    <row r="33" customFormat="false" ht="19.5" hidden="false" customHeight="true" outlineLevel="0" collapsed="false">
      <c r="A33" s="3" t="s">
        <v>462</v>
      </c>
      <c r="B33" s="3"/>
    </row>
    <row r="34" customFormat="false" ht="30" hidden="false" customHeight="true" outlineLevel="0" collapsed="false">
      <c r="B34" s="57" t="s">
        <v>463</v>
      </c>
    </row>
    <row r="35" customFormat="false" ht="30" hidden="false" customHeight="true" outlineLevel="0" collapsed="false">
      <c r="B35" s="57" t="s">
        <v>464</v>
      </c>
    </row>
    <row r="36" customFormat="false" ht="30" hidden="false" customHeight="true" outlineLevel="0" collapsed="false">
      <c r="B36" s="57" t="s">
        <v>465</v>
      </c>
    </row>
    <row r="38" customFormat="false" ht="19.5" hidden="false" customHeight="true" outlineLevel="0" collapsed="false">
      <c r="A38" s="3" t="s">
        <v>466</v>
      </c>
      <c r="B38" s="3"/>
    </row>
    <row r="39" customFormat="false" ht="30" hidden="false" customHeight="true" outlineLevel="0" collapsed="false">
      <c r="B39" s="57" t="s">
        <v>467</v>
      </c>
    </row>
  </sheetData>
  <mergeCells count="11">
    <mergeCell ref="A1:B1"/>
    <mergeCell ref="A2:B2"/>
    <mergeCell ref="A4:B4"/>
    <mergeCell ref="A7:B7"/>
    <mergeCell ref="A12:B12"/>
    <mergeCell ref="A17:B17"/>
    <mergeCell ref="A20:B20"/>
    <mergeCell ref="A24:B24"/>
    <mergeCell ref="A28:B28"/>
    <mergeCell ref="A33:B33"/>
    <mergeCell ref="A38:B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9" min="1" style="0" width="22"/>
  </cols>
  <sheetData>
    <row r="1" customFormat="false" ht="15" hidden="false" customHeight="false" outlineLevel="0" collapsed="false">
      <c r="A1" s="58" t="s">
        <v>468</v>
      </c>
      <c r="B1" s="58" t="s">
        <v>469</v>
      </c>
      <c r="C1" s="58" t="s">
        <v>470</v>
      </c>
      <c r="D1" s="58" t="s">
        <v>471</v>
      </c>
      <c r="E1" s="58" t="s">
        <v>472</v>
      </c>
      <c r="F1" s="58" t="s">
        <v>473</v>
      </c>
      <c r="G1" s="58" t="s">
        <v>474</v>
      </c>
      <c r="H1" s="58" t="s">
        <v>475</v>
      </c>
      <c r="I1" s="58" t="s">
        <v>476</v>
      </c>
    </row>
    <row r="2" customFormat="false" ht="15" hidden="false" customHeight="false" outlineLevel="0" collapsed="false">
      <c r="A2" s="0" t="s">
        <v>101</v>
      </c>
      <c r="B2" s="0" t="s">
        <v>14</v>
      </c>
      <c r="C2" s="0" t="s">
        <v>477</v>
      </c>
      <c r="D2" s="0" t="s">
        <v>28</v>
      </c>
      <c r="E2" s="0" t="s">
        <v>190</v>
      </c>
      <c r="F2" s="0" t="s">
        <v>357</v>
      </c>
      <c r="G2" s="0" t="s">
        <v>344</v>
      </c>
      <c r="H2" s="0" t="s">
        <v>366</v>
      </c>
      <c r="I2" s="0" t="s">
        <v>93</v>
      </c>
    </row>
    <row r="3" customFormat="false" ht="15" hidden="false" customHeight="false" outlineLevel="0" collapsed="false">
      <c r="A3" s="0" t="s">
        <v>96</v>
      </c>
      <c r="B3" s="0" t="s">
        <v>478</v>
      </c>
      <c r="C3" s="0" t="s">
        <v>26</v>
      </c>
      <c r="D3" s="0" t="s">
        <v>479</v>
      </c>
      <c r="E3" s="0" t="s">
        <v>186</v>
      </c>
      <c r="F3" s="0" t="s">
        <v>341</v>
      </c>
      <c r="G3" s="0" t="s">
        <v>480</v>
      </c>
      <c r="H3" s="0" t="s">
        <v>346</v>
      </c>
      <c r="I3" s="0" t="s">
        <v>102</v>
      </c>
    </row>
    <row r="4" customFormat="false" ht="15" hidden="false" customHeight="false" outlineLevel="0" collapsed="false">
      <c r="B4" s="0" t="s">
        <v>481</v>
      </c>
      <c r="C4" s="0" t="s">
        <v>482</v>
      </c>
      <c r="D4" s="0" t="s">
        <v>483</v>
      </c>
      <c r="E4" s="0" t="s">
        <v>246</v>
      </c>
      <c r="F4" s="0" t="s">
        <v>350</v>
      </c>
      <c r="G4" s="0" t="s">
        <v>484</v>
      </c>
      <c r="H4" s="0" t="s">
        <v>485</v>
      </c>
      <c r="I4" s="0" t="s">
        <v>111</v>
      </c>
    </row>
    <row r="5" customFormat="false" ht="15" hidden="false" customHeight="false" outlineLevel="0" collapsed="false">
      <c r="B5" s="0" t="s">
        <v>486</v>
      </c>
      <c r="C5" s="0" t="s">
        <v>487</v>
      </c>
      <c r="D5" s="0" t="s">
        <v>488</v>
      </c>
      <c r="E5" s="0" t="s">
        <v>181</v>
      </c>
      <c r="F5" s="0" t="s">
        <v>369</v>
      </c>
      <c r="G5" s="0" t="s">
        <v>489</v>
      </c>
      <c r="H5" s="0" t="s">
        <v>490</v>
      </c>
      <c r="I5" s="0" t="s">
        <v>116</v>
      </c>
    </row>
    <row r="6" customFormat="false" ht="15" hidden="false" customHeight="false" outlineLevel="0" collapsed="false">
      <c r="B6" s="0" t="s">
        <v>491</v>
      </c>
      <c r="C6" s="0" t="s">
        <v>492</v>
      </c>
      <c r="D6" s="0" t="s">
        <v>493</v>
      </c>
      <c r="E6" s="0" t="s">
        <v>196</v>
      </c>
      <c r="F6" s="0" t="s">
        <v>378</v>
      </c>
      <c r="H6" s="0" t="s">
        <v>353</v>
      </c>
      <c r="I6" s="0" t="s">
        <v>494</v>
      </c>
    </row>
    <row r="7" customFormat="false" ht="15" hidden="false" customHeight="false" outlineLevel="0" collapsed="false">
      <c r="B7" s="0" t="s">
        <v>495</v>
      </c>
      <c r="D7" s="0" t="s">
        <v>496</v>
      </c>
      <c r="E7" s="0" t="s">
        <v>497</v>
      </c>
      <c r="F7" s="0" t="s">
        <v>63</v>
      </c>
      <c r="H7" s="0" t="s">
        <v>498</v>
      </c>
    </row>
    <row r="8" customFormat="false" ht="15" hidden="false" customHeight="false" outlineLevel="0" collapsed="false">
      <c r="B8" s="0" t="s">
        <v>199</v>
      </c>
      <c r="E8" s="0" t="s">
        <v>499</v>
      </c>
      <c r="F8" s="0" t="s">
        <v>65</v>
      </c>
    </row>
    <row r="9" customFormat="false" ht="15" hidden="false" customHeight="false" outlineLevel="0" collapsed="false">
      <c r="E9" s="0" t="s">
        <v>500</v>
      </c>
      <c r="F9" s="0" t="s">
        <v>363</v>
      </c>
    </row>
    <row r="10" customFormat="false" ht="15" hidden="false" customHeight="false" outlineLevel="0" collapsed="false">
      <c r="E10" s="0" t="s">
        <v>184</v>
      </c>
    </row>
    <row r="11" customFormat="false" ht="15" hidden="false" customHeight="false" outlineLevel="0" collapsed="false">
      <c r="E11" s="0" t="s">
        <v>501</v>
      </c>
    </row>
    <row r="12" customFormat="false" ht="15" hidden="false" customHeight="false" outlineLevel="0" collapsed="false">
      <c r="E12" s="0" t="s">
        <v>502</v>
      </c>
    </row>
    <row r="13" customFormat="false" ht="15" hidden="false" customHeight="false" outlineLevel="0" collapsed="false">
      <c r="E13" s="0" t="s">
        <v>503</v>
      </c>
    </row>
    <row r="14" customFormat="false" ht="15" hidden="false" customHeight="false" outlineLevel="0" collapsed="false">
      <c r="E14" s="0" t="s">
        <v>504</v>
      </c>
    </row>
    <row r="15" customFormat="false" ht="15" hidden="false" customHeight="false" outlineLevel="0" collapsed="false">
      <c r="E15" s="0" t="s">
        <v>273</v>
      </c>
    </row>
    <row r="16" customFormat="false" ht="15" hidden="false" customHeight="false" outlineLevel="0" collapsed="false">
      <c r="E16" s="0" t="s">
        <v>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2026-07-04T16:56:44Z</dcterms:created>
  <dc:creator>openpyxl</dc:creator>
  <dc:description/>
  <dc:language>en-IN</dc:language>
  <cp:lastModifiedBy/>
  <dcterms:modified xsi:type="dcterms:W3CDTF">2026-07-04T22:31:00Z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